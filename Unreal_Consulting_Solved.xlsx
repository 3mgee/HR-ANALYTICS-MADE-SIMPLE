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Ch3 — Counting" sheetId="2" state="visible" r:id="rId4"/>
    <sheet name="Ch4 — Salary &amp; Cost" sheetId="3" state="visible" r:id="rId5"/>
    <sheet name="Ch5 — Pay Equity" sheetId="4" state="visible" r:id="rId6"/>
    <sheet name="Ch6 — Spread &amp; Outliers" sheetId="5" state="visible" r:id="rId7"/>
    <sheet name="Ch7 — Attrition" sheetId="6" state="visible" r:id="rId8"/>
    <sheet name="Ch7b — Correlations" sheetId="7" state="visible" r:id="rId9"/>
    <sheet name="Ch9 — Pivot Refer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<sst xmlns="http://schemas.openxmlformats.org/spreadsheetml/2006/main" count="2044" uniqueCount="645">
  <si>
    <t xml:space="preserve">Unreal Consulting — Employee Dataset (Solved Workbook)</t>
  </si>
  <si>
    <t xml:space="preserve">Employee ID</t>
  </si>
  <si>
    <t xml:space="preserve">Full Name</t>
  </si>
  <si>
    <t xml:space="preserve">Department</t>
  </si>
  <si>
    <t xml:space="preserve">Job Level</t>
  </si>
  <si>
    <t xml:space="preserve">Location</t>
  </si>
  <si>
    <t xml:space="preserve">Work Mode</t>
  </si>
  <si>
    <t xml:space="preserve">Gender</t>
  </si>
  <si>
    <t xml:space="preserve">Age</t>
  </si>
  <si>
    <t xml:space="preserve">Tenure (Years)</t>
  </si>
  <si>
    <t xml:space="preserve">Salary (£)</t>
  </si>
  <si>
    <t xml:space="preserve">Bonus %</t>
  </si>
  <si>
    <t xml:space="preserve">Performance Rating</t>
  </si>
  <si>
    <t xml:space="preserve">Training Hours</t>
  </si>
  <si>
    <t xml:space="preserve">Last Promotion</t>
  </si>
  <si>
    <t xml:space="preserve">Voluntary Leaver</t>
  </si>
  <si>
    <t xml:space="preserve">Manager ID</t>
  </si>
  <si>
    <t xml:space="preserve">UC-0001</t>
  </si>
  <si>
    <t xml:space="preserve">Emre Tessema</t>
  </si>
  <si>
    <t xml:space="preserve">Technology</t>
  </si>
  <si>
    <t xml:space="preserve">Director</t>
  </si>
  <si>
    <t xml:space="preserve">London</t>
  </si>
  <si>
    <t xml:space="preserve">Hybrid</t>
  </si>
  <si>
    <t xml:space="preserve">Male</t>
  </si>
  <si>
    <t xml:space="preserve">No</t>
  </si>
  <si>
    <t xml:space="preserve">UC-0000</t>
  </si>
  <si>
    <t xml:space="preserve">UC-0002</t>
  </si>
  <si>
    <t xml:space="preserve">Indigo Turner</t>
  </si>
  <si>
    <t xml:space="preserve">Non-binary</t>
  </si>
  <si>
    <t xml:space="preserve">UC-0003</t>
  </si>
  <si>
    <t xml:space="preserve">Fatima Cross</t>
  </si>
  <si>
    <t xml:space="preserve">Office</t>
  </si>
  <si>
    <t xml:space="preserve">Female</t>
  </si>
  <si>
    <t xml:space="preserve">UC-0004</t>
  </si>
  <si>
    <t xml:space="preserve">Elspeth Campbell</t>
  </si>
  <si>
    <t xml:space="preserve">Lead</t>
  </si>
  <si>
    <t xml:space="preserve">UC-0005</t>
  </si>
  <si>
    <t xml:space="preserve">Brigitte Vargas</t>
  </si>
  <si>
    <t xml:space="preserve">Edinburgh</t>
  </si>
  <si>
    <t xml:space="preserve">Yes</t>
  </si>
  <si>
    <t xml:space="preserve">UC-0006</t>
  </si>
  <si>
    <t xml:space="preserve">Michael Finlay</t>
  </si>
  <si>
    <t xml:space="preserve">UC-0007</t>
  </si>
  <si>
    <t xml:space="preserve">Victor Ahmed</t>
  </si>
  <si>
    <t xml:space="preserve">UC-0008</t>
  </si>
  <si>
    <t xml:space="preserve">Yusuf Bradley</t>
  </si>
  <si>
    <t xml:space="preserve">Remote</t>
  </si>
  <si>
    <t xml:space="preserve">UC-0009</t>
  </si>
  <si>
    <t xml:space="preserve">Cian Osei</t>
  </si>
  <si>
    <t xml:space="preserve">UC-0010</t>
  </si>
  <si>
    <t xml:space="preserve">Fatima Bergstrom</t>
  </si>
  <si>
    <t xml:space="preserve">UC-0011</t>
  </si>
  <si>
    <t xml:space="preserve">Chioma Ahmed</t>
  </si>
  <si>
    <t xml:space="preserve">Senior</t>
  </si>
  <si>
    <t xml:space="preserve">UC-0012</t>
  </si>
  <si>
    <t xml:space="preserve">Hugo Dubois</t>
  </si>
  <si>
    <t xml:space="preserve">UC-0013</t>
  </si>
  <si>
    <t xml:space="preserve">Moira Anand</t>
  </si>
  <si>
    <t xml:space="preserve">Manchester</t>
  </si>
  <si>
    <t xml:space="preserve">UC-0014</t>
  </si>
  <si>
    <t xml:space="preserve">Louis Draper</t>
  </si>
  <si>
    <t xml:space="preserve">UC-0015</t>
  </si>
  <si>
    <t xml:space="preserve">Will Campbell</t>
  </si>
  <si>
    <t xml:space="preserve">UC-0016</t>
  </si>
  <si>
    <t xml:space="preserve">Fiona Novak</t>
  </si>
  <si>
    <t xml:space="preserve">UC-0017</t>
  </si>
  <si>
    <t xml:space="preserve">Leandro Buckley</t>
  </si>
  <si>
    <t xml:space="preserve">UC-0018</t>
  </si>
  <si>
    <t xml:space="preserve">Tara Bennett</t>
  </si>
  <si>
    <t xml:space="preserve">UC-0019</t>
  </si>
  <si>
    <t xml:space="preserve">Alistair Kurosawa</t>
  </si>
  <si>
    <t xml:space="preserve">UC-0020</t>
  </si>
  <si>
    <t xml:space="preserve">Moira Sharma</t>
  </si>
  <si>
    <t xml:space="preserve">UC-0021</t>
  </si>
  <si>
    <t xml:space="preserve">Louis Okonkwo</t>
  </si>
  <si>
    <t xml:space="preserve">UC-0022</t>
  </si>
  <si>
    <t xml:space="preserve">Soren Whitfield</t>
  </si>
  <si>
    <t xml:space="preserve">UC-0023</t>
  </si>
  <si>
    <t xml:space="preserve">Imogen Evans</t>
  </si>
  <si>
    <t xml:space="preserve">Mid</t>
  </si>
  <si>
    <t xml:space="preserve">UC-0024</t>
  </si>
  <si>
    <t xml:space="preserve">Pooja Fraser</t>
  </si>
  <si>
    <t xml:space="preserve">UC-0025</t>
  </si>
  <si>
    <t xml:space="preserve">Chloe Kim</t>
  </si>
  <si>
    <t xml:space="preserve">UC-0026</t>
  </si>
  <si>
    <t xml:space="preserve">Mo Alderton</t>
  </si>
  <si>
    <t xml:space="preserve">UC-0027</t>
  </si>
  <si>
    <t xml:space="preserve">Diana Schulz</t>
  </si>
  <si>
    <t xml:space="preserve">UC-0028</t>
  </si>
  <si>
    <t xml:space="preserve">Rohan Diallo</t>
  </si>
  <si>
    <t xml:space="preserve">UC-0029</t>
  </si>
  <si>
    <t xml:space="preserve">Louis Mistry</t>
  </si>
  <si>
    <t xml:space="preserve">UC-0030</t>
  </si>
  <si>
    <t xml:space="preserve">Emre Mensah</t>
  </si>
  <si>
    <t xml:space="preserve">UC-0031</t>
  </si>
  <si>
    <t xml:space="preserve">Beth Price</t>
  </si>
  <si>
    <t xml:space="preserve">UC-0032</t>
  </si>
  <si>
    <t xml:space="preserve">Valentina Mehta</t>
  </si>
  <si>
    <t xml:space="preserve">UC-0033</t>
  </si>
  <si>
    <t xml:space="preserve">George Adeyemi</t>
  </si>
  <si>
    <t xml:space="preserve">UC-0034</t>
  </si>
  <si>
    <t xml:space="preserve">Tobias Murphy</t>
  </si>
  <si>
    <t xml:space="preserve">UC-0035</t>
  </si>
  <si>
    <t xml:space="preserve">Callum Nkosi</t>
  </si>
  <si>
    <t xml:space="preserve">UC-0036</t>
  </si>
  <si>
    <t xml:space="preserve">Cillian Tanaka</t>
  </si>
  <si>
    <t xml:space="preserve">UC-0037</t>
  </si>
  <si>
    <t xml:space="preserve">Iain Quaye</t>
  </si>
  <si>
    <t xml:space="preserve">UC-0038</t>
  </si>
  <si>
    <t xml:space="preserve">Andrei Tessema</t>
  </si>
  <si>
    <t xml:space="preserve">UC-0039</t>
  </si>
  <si>
    <t xml:space="preserve">Bence Al-Hassan</t>
  </si>
  <si>
    <t xml:space="preserve">Junior</t>
  </si>
  <si>
    <t xml:space="preserve">UC-0040</t>
  </si>
  <si>
    <t xml:space="preserve">Anna Nkosi</t>
  </si>
  <si>
    <t xml:space="preserve">UC-0041</t>
  </si>
  <si>
    <t xml:space="preserve">Lena Rao</t>
  </si>
  <si>
    <t xml:space="preserve">UC-0042</t>
  </si>
  <si>
    <t xml:space="preserve">Elena Lin</t>
  </si>
  <si>
    <t xml:space="preserve">UC-0043</t>
  </si>
  <si>
    <t xml:space="preserve">Tunde Alderton</t>
  </si>
  <si>
    <t xml:space="preserve">UC-0044</t>
  </si>
  <si>
    <t xml:space="preserve">Olamide Bergstrom</t>
  </si>
  <si>
    <t xml:space="preserve">UC-0045</t>
  </si>
  <si>
    <t xml:space="preserve">Rosalyn Mansouri</t>
  </si>
  <si>
    <t xml:space="preserve">UC-0046</t>
  </si>
  <si>
    <t xml:space="preserve">Raphael Ojo</t>
  </si>
  <si>
    <t xml:space="preserve">UC-0047</t>
  </si>
  <si>
    <t xml:space="preserve">Raphael Reynolds</t>
  </si>
  <si>
    <t xml:space="preserve">UC-0048</t>
  </si>
  <si>
    <t xml:space="preserve">Niall Dubois</t>
  </si>
  <si>
    <t xml:space="preserve">UC-0049</t>
  </si>
  <si>
    <t xml:space="preserve">Connor Evans</t>
  </si>
  <si>
    <t xml:space="preserve">UC-0050</t>
  </si>
  <si>
    <t xml:space="preserve">Helene Reid</t>
  </si>
  <si>
    <t xml:space="preserve">UC-0051</t>
  </si>
  <si>
    <t xml:space="preserve">Darius Mensah</t>
  </si>
  <si>
    <t xml:space="preserve">Strategy</t>
  </si>
  <si>
    <t xml:space="preserve">UC-0052</t>
  </si>
  <si>
    <t xml:space="preserve">Layla Hassan</t>
  </si>
  <si>
    <t xml:space="preserve">UC-0053</t>
  </si>
  <si>
    <t xml:space="preserve">Zoe Okafor</t>
  </si>
  <si>
    <t xml:space="preserve">UC-0054</t>
  </si>
  <si>
    <t xml:space="preserve">Nathan Wright</t>
  </si>
  <si>
    <t xml:space="preserve">UC-0055</t>
  </si>
  <si>
    <t xml:space="preserve">Cecilia Mansouri</t>
  </si>
  <si>
    <t xml:space="preserve">UC-0056</t>
  </si>
  <si>
    <t xml:space="preserve">Seun Draper</t>
  </si>
  <si>
    <t xml:space="preserve">UC-0057</t>
  </si>
  <si>
    <t xml:space="preserve">Rebecca MacDonald</t>
  </si>
  <si>
    <t xml:space="preserve">UC-0058</t>
  </si>
  <si>
    <t xml:space="preserve">Abdou Nwosu</t>
  </si>
  <si>
    <t xml:space="preserve">UC-0059</t>
  </si>
  <si>
    <t xml:space="preserve">Sasha Anand</t>
  </si>
  <si>
    <t xml:space="preserve">UC-0060</t>
  </si>
  <si>
    <t xml:space="preserve">Hamid Santos</t>
  </si>
  <si>
    <t xml:space="preserve">UC-0061</t>
  </si>
  <si>
    <t xml:space="preserve">Isabel Vargas</t>
  </si>
  <si>
    <t xml:space="preserve">UC-0062</t>
  </si>
  <si>
    <t xml:space="preserve">Adebayo Ojo</t>
  </si>
  <si>
    <t xml:space="preserve">UC-0063</t>
  </si>
  <si>
    <t xml:space="preserve">Louis Rossi</t>
  </si>
  <si>
    <t xml:space="preserve">UC-0064</t>
  </si>
  <si>
    <t xml:space="preserve">Brendan Kapoor</t>
  </si>
  <si>
    <t xml:space="preserve">UC-0065</t>
  </si>
  <si>
    <t xml:space="preserve">Freya Ojo</t>
  </si>
  <si>
    <t xml:space="preserve">UC-0066</t>
  </si>
  <si>
    <t xml:space="preserve">Cormac Osei</t>
  </si>
  <si>
    <t xml:space="preserve">UC-0067</t>
  </si>
  <si>
    <t xml:space="preserve">Daniel Kovacs</t>
  </si>
  <si>
    <t xml:space="preserve">UC-0068</t>
  </si>
  <si>
    <t xml:space="preserve">James Reyes</t>
  </si>
  <si>
    <t xml:space="preserve">UC-0069</t>
  </si>
  <si>
    <t xml:space="preserve">Catalina Wright</t>
  </si>
  <si>
    <t xml:space="preserve">UC-0070</t>
  </si>
  <si>
    <t xml:space="preserve">Raphael Bennett</t>
  </si>
  <si>
    <t xml:space="preserve">UC-0071</t>
  </si>
  <si>
    <t xml:space="preserve">Louis Adeyemi</t>
  </si>
  <si>
    <t xml:space="preserve">UC-0072</t>
  </si>
  <si>
    <t xml:space="preserve">Brigitte Murphy</t>
  </si>
  <si>
    <t xml:space="preserve">UC-0073</t>
  </si>
  <si>
    <t xml:space="preserve">Pedro Reid</t>
  </si>
  <si>
    <t xml:space="preserve">UC-0074</t>
  </si>
  <si>
    <t xml:space="preserve">Stefan Eriksson</t>
  </si>
  <si>
    <t xml:space="preserve">UC-0075</t>
  </si>
  <si>
    <t xml:space="preserve">Saskia Boateng</t>
  </si>
  <si>
    <t xml:space="preserve">UC-0076</t>
  </si>
  <si>
    <t xml:space="preserve">Frankie Price</t>
  </si>
  <si>
    <t xml:space="preserve">UC-0077</t>
  </si>
  <si>
    <t xml:space="preserve">Arjun MacDonald</t>
  </si>
  <si>
    <t xml:space="preserve">UC-0078</t>
  </si>
  <si>
    <t xml:space="preserve">Blessing Clarke</t>
  </si>
  <si>
    <t xml:space="preserve">UC-0079</t>
  </si>
  <si>
    <t xml:space="preserve">Ryan Nair</t>
  </si>
  <si>
    <t xml:space="preserve">UC-0080</t>
  </si>
  <si>
    <t xml:space="preserve">Natalie Eriksson</t>
  </si>
  <si>
    <t xml:space="preserve">UC-0081</t>
  </si>
  <si>
    <t xml:space="preserve">Arjun Nakamura</t>
  </si>
  <si>
    <t xml:space="preserve">UC-0082</t>
  </si>
  <si>
    <t xml:space="preserve">Jae-won Holloway</t>
  </si>
  <si>
    <t xml:space="preserve">UC-0083</t>
  </si>
  <si>
    <t xml:space="preserve">Freya Sato</t>
  </si>
  <si>
    <t xml:space="preserve">UC-0084</t>
  </si>
  <si>
    <t xml:space="preserve">Seun Price</t>
  </si>
  <si>
    <t xml:space="preserve">UC-0085</t>
  </si>
  <si>
    <t xml:space="preserve">Chris Vasquez</t>
  </si>
  <si>
    <t xml:space="preserve">UC-0086</t>
  </si>
  <si>
    <t xml:space="preserve">Michael Nduka</t>
  </si>
  <si>
    <t xml:space="preserve">UC-0087</t>
  </si>
  <si>
    <t xml:space="preserve">Cian Moretti</t>
  </si>
  <si>
    <t xml:space="preserve">UC-0088</t>
  </si>
  <si>
    <t xml:space="preserve">Nathan Vargas</t>
  </si>
  <si>
    <t xml:space="preserve">UC-0089</t>
  </si>
  <si>
    <t xml:space="preserve">Saoirse Onyekachi</t>
  </si>
  <si>
    <t xml:space="preserve">UC-0090</t>
  </si>
  <si>
    <t xml:space="preserve">Elliot Novak</t>
  </si>
  <si>
    <t xml:space="preserve">UC-0091</t>
  </si>
  <si>
    <t xml:space="preserve">David Varga</t>
  </si>
  <si>
    <t xml:space="preserve">Finance</t>
  </si>
  <si>
    <t xml:space="preserve">UC-0092</t>
  </si>
  <si>
    <t xml:space="preserve">Priya Turner</t>
  </si>
  <si>
    <t xml:space="preserve">UC-0093</t>
  </si>
  <si>
    <t xml:space="preserve">Sunita Tessema</t>
  </si>
  <si>
    <t xml:space="preserve">UC-0094</t>
  </si>
  <si>
    <t xml:space="preserve">Frankie Lawton</t>
  </si>
  <si>
    <t xml:space="preserve">UC-0095</t>
  </si>
  <si>
    <t xml:space="preserve">Hana Sato</t>
  </si>
  <si>
    <t xml:space="preserve">UC-0096</t>
  </si>
  <si>
    <t xml:space="preserve">Iain Onyekachi</t>
  </si>
  <si>
    <t xml:space="preserve">UC-0097</t>
  </si>
  <si>
    <t xml:space="preserve">Amara Ferreira</t>
  </si>
  <si>
    <t xml:space="preserve">UC-0098</t>
  </si>
  <si>
    <t xml:space="preserve">Niall Foster</t>
  </si>
  <si>
    <t xml:space="preserve">UC-0099</t>
  </si>
  <si>
    <t xml:space="preserve">Renata Leblanc</t>
  </si>
  <si>
    <t xml:space="preserve">UC-0100</t>
  </si>
  <si>
    <t xml:space="preserve">James Ojo</t>
  </si>
  <si>
    <t xml:space="preserve">UC-0101</t>
  </si>
  <si>
    <t xml:space="preserve">Blessing Diallo</t>
  </si>
  <si>
    <t xml:space="preserve">UC-0102</t>
  </si>
  <si>
    <t xml:space="preserve">Darius Balogun</t>
  </si>
  <si>
    <t xml:space="preserve">UC-0103</t>
  </si>
  <si>
    <t xml:space="preserve">Will Bradley</t>
  </si>
  <si>
    <t xml:space="preserve">UC-0104</t>
  </si>
  <si>
    <t xml:space="preserve">Dina Alderton</t>
  </si>
  <si>
    <t xml:space="preserve">UC-0105</t>
  </si>
  <si>
    <t xml:space="preserve">Nadia Reid</t>
  </si>
  <si>
    <t xml:space="preserve">UC-0106</t>
  </si>
  <si>
    <t xml:space="preserve">Sophie Ojo</t>
  </si>
  <si>
    <t xml:space="preserve">UC-0107</t>
  </si>
  <si>
    <t xml:space="preserve">Tadhg Reyes</t>
  </si>
  <si>
    <t xml:space="preserve">UC-0108</t>
  </si>
  <si>
    <t xml:space="preserve">Edward Boateng</t>
  </si>
  <si>
    <t xml:space="preserve">UC-0109</t>
  </si>
  <si>
    <t xml:space="preserve">Mia Oh</t>
  </si>
  <si>
    <t xml:space="preserve">UC-0110</t>
  </si>
  <si>
    <t xml:space="preserve">Tom Rahimi</t>
  </si>
  <si>
    <t xml:space="preserve">UC-0111</t>
  </si>
  <si>
    <t xml:space="preserve">Elliot Kapoor</t>
  </si>
  <si>
    <t xml:space="preserve">UC-0112</t>
  </si>
  <si>
    <t xml:space="preserve">Yuki Okoro</t>
  </si>
  <si>
    <t xml:space="preserve">UC-0113</t>
  </si>
  <si>
    <t xml:space="preserve">Solange Mensah</t>
  </si>
  <si>
    <t xml:space="preserve">UC-0114</t>
  </si>
  <si>
    <t xml:space="preserve">Yvonne Fernandez</t>
  </si>
  <si>
    <t xml:space="preserve">UC-0115</t>
  </si>
  <si>
    <t xml:space="preserve">Mo Mistry</t>
  </si>
  <si>
    <t xml:space="preserve">UC-0116</t>
  </si>
  <si>
    <t xml:space="preserve">Elliot Reynolds</t>
  </si>
  <si>
    <t xml:space="preserve">UC-0117</t>
  </si>
  <si>
    <t xml:space="preserve">Nnamdi Kapoor</t>
  </si>
  <si>
    <t xml:space="preserve">UC-0118</t>
  </si>
  <si>
    <t xml:space="preserve">Oliver Patterson</t>
  </si>
  <si>
    <t xml:space="preserve">UC-0119</t>
  </si>
  <si>
    <t xml:space="preserve">Adaora Lawton</t>
  </si>
  <si>
    <t xml:space="preserve">UC-0120</t>
  </si>
  <si>
    <t xml:space="preserve">David McCarthy</t>
  </si>
  <si>
    <t xml:space="preserve">UC-0121</t>
  </si>
  <si>
    <t xml:space="preserve">Imogen Asante</t>
  </si>
  <si>
    <t xml:space="preserve">UC-0122</t>
  </si>
  <si>
    <t xml:space="preserve">Bart Mehta</t>
  </si>
  <si>
    <t xml:space="preserve">UC-0123</t>
  </si>
  <si>
    <t xml:space="preserve">Femi Santos</t>
  </si>
  <si>
    <t xml:space="preserve">UC-0124</t>
  </si>
  <si>
    <t xml:space="preserve">Abdou Nduka</t>
  </si>
  <si>
    <t xml:space="preserve">UC-0125</t>
  </si>
  <si>
    <t xml:space="preserve">Xavier Vestergaard</t>
  </si>
  <si>
    <t xml:space="preserve">UC-0126</t>
  </si>
  <si>
    <t xml:space="preserve">Wanjiku Tessema</t>
  </si>
  <si>
    <t xml:space="preserve">UC-0127</t>
  </si>
  <si>
    <t xml:space="preserve">Brendan Baptiste</t>
  </si>
  <si>
    <t xml:space="preserve">UC-0128</t>
  </si>
  <si>
    <t xml:space="preserve">Tadhg Dubois</t>
  </si>
  <si>
    <t xml:space="preserve">UC-0129</t>
  </si>
  <si>
    <t xml:space="preserve">George Novak</t>
  </si>
  <si>
    <t xml:space="preserve">Operations</t>
  </si>
  <si>
    <t xml:space="preserve">UC-0130</t>
  </si>
  <si>
    <t xml:space="preserve">Pooja Kowalski</t>
  </si>
  <si>
    <t xml:space="preserve">UC-0131</t>
  </si>
  <si>
    <t xml:space="preserve">Obinna Holloway</t>
  </si>
  <si>
    <t xml:space="preserve">UC-0132</t>
  </si>
  <si>
    <t xml:space="preserve">Kofi Hassan</t>
  </si>
  <si>
    <t xml:space="preserve">UC-0133</t>
  </si>
  <si>
    <t xml:space="preserve">Callum Patel</t>
  </si>
  <si>
    <t xml:space="preserve">UC-0134</t>
  </si>
  <si>
    <t xml:space="preserve">Emre Ferreira</t>
  </si>
  <si>
    <t xml:space="preserve">UC-0135</t>
  </si>
  <si>
    <t xml:space="preserve">Raphael Okonkwo</t>
  </si>
  <si>
    <t xml:space="preserve">UC-0136</t>
  </si>
  <si>
    <t xml:space="preserve">Soren Nair</t>
  </si>
  <si>
    <t xml:space="preserve">UC-0137</t>
  </si>
  <si>
    <t xml:space="preserve">Saskia Al-Hassan</t>
  </si>
  <si>
    <t xml:space="preserve">UC-0138</t>
  </si>
  <si>
    <t xml:space="preserve">Daniel Das</t>
  </si>
  <si>
    <t xml:space="preserve">UC-0139</t>
  </si>
  <si>
    <t xml:space="preserve">Ravi Clarke</t>
  </si>
  <si>
    <t xml:space="preserve">UC-0140</t>
  </si>
  <si>
    <t xml:space="preserve">Fiona Varga</t>
  </si>
  <si>
    <t xml:space="preserve">UC-0141</t>
  </si>
  <si>
    <t xml:space="preserve">Miriam Evans</t>
  </si>
  <si>
    <t xml:space="preserve">UC-0142</t>
  </si>
  <si>
    <t xml:space="preserve">Gus Fernandez</t>
  </si>
  <si>
    <t xml:space="preserve">UC-0143</t>
  </si>
  <si>
    <t xml:space="preserve">Renata Asante</t>
  </si>
  <si>
    <t xml:space="preserve">UC-0144</t>
  </si>
  <si>
    <t xml:space="preserve">Arjun Balogun</t>
  </si>
  <si>
    <t xml:space="preserve">UC-0145</t>
  </si>
  <si>
    <t xml:space="preserve">Mia Pierce</t>
  </si>
  <si>
    <t xml:space="preserve">UC-0146</t>
  </si>
  <si>
    <t xml:space="preserve">Callum Harper</t>
  </si>
  <si>
    <t xml:space="preserve">UC-0147</t>
  </si>
  <si>
    <t xml:space="preserve">Tunde Ahmed</t>
  </si>
  <si>
    <t xml:space="preserve">UC-0148</t>
  </si>
  <si>
    <t xml:space="preserve">Keiko Draper</t>
  </si>
  <si>
    <t xml:space="preserve">UC-0149</t>
  </si>
  <si>
    <t xml:space="preserve">Charlotte Nkosi</t>
  </si>
  <si>
    <t xml:space="preserve">UC-0150</t>
  </si>
  <si>
    <t xml:space="preserve">Obinna Dubois</t>
  </si>
  <si>
    <t xml:space="preserve">UC-0151</t>
  </si>
  <si>
    <t xml:space="preserve">Mo Kurosawa</t>
  </si>
  <si>
    <t xml:space="preserve">UC-0152</t>
  </si>
  <si>
    <t xml:space="preserve">Bart Carrington</t>
  </si>
  <si>
    <t xml:space="preserve">UC-0153</t>
  </si>
  <si>
    <t xml:space="preserve">Soren Buckley</t>
  </si>
  <si>
    <t xml:space="preserve">UC-0154</t>
  </si>
  <si>
    <t xml:space="preserve">Kofi Reynolds</t>
  </si>
  <si>
    <t xml:space="preserve">UC-0155</t>
  </si>
  <si>
    <t xml:space="preserve">Olamide MacLeod</t>
  </si>
  <si>
    <t xml:space="preserve">UC-0156</t>
  </si>
  <si>
    <t xml:space="preserve">Layla MacLeod</t>
  </si>
  <si>
    <t xml:space="preserve">UC-0157</t>
  </si>
  <si>
    <t xml:space="preserve">Brendan Brennan</t>
  </si>
  <si>
    <t xml:space="preserve">UC-0158</t>
  </si>
  <si>
    <t xml:space="preserve">Ife Oh</t>
  </si>
  <si>
    <t xml:space="preserve">UC-0159</t>
  </si>
  <si>
    <t xml:space="preserve">Will Sato</t>
  </si>
  <si>
    <t xml:space="preserve">UC-0160</t>
  </si>
  <si>
    <t xml:space="preserve">Andrei Nduka</t>
  </si>
  <si>
    <t xml:space="preserve">UC-0161</t>
  </si>
  <si>
    <t xml:space="preserve">Tom Finlay</t>
  </si>
  <si>
    <t xml:space="preserve">UC-0162</t>
  </si>
  <si>
    <t xml:space="preserve">George Reyes</t>
  </si>
  <si>
    <t xml:space="preserve">UC-0163</t>
  </si>
  <si>
    <t xml:space="preserve">Henrik Holloway</t>
  </si>
  <si>
    <t xml:space="preserve">UC-0164</t>
  </si>
  <si>
    <t xml:space="preserve">George Pierce</t>
  </si>
  <si>
    <t xml:space="preserve">UC-0165</t>
  </si>
  <si>
    <t xml:space="preserve">Patrick Tanaka</t>
  </si>
  <si>
    <t xml:space="preserve">UC-0166</t>
  </si>
  <si>
    <t xml:space="preserve">Amara Kowalski</t>
  </si>
  <si>
    <t xml:space="preserve">UC-0167</t>
  </si>
  <si>
    <t xml:space="preserve">Priya Sato</t>
  </si>
  <si>
    <t xml:space="preserve">UC-0168</t>
  </si>
  <si>
    <t xml:space="preserve">Morgan Bennett</t>
  </si>
  <si>
    <t xml:space="preserve">UC-0169</t>
  </si>
  <si>
    <t xml:space="preserve">Sarah Fraser</t>
  </si>
  <si>
    <t xml:space="preserve">UC-0170</t>
  </si>
  <si>
    <t xml:space="preserve">Theo Asante</t>
  </si>
  <si>
    <t xml:space="preserve">UC-0171</t>
  </si>
  <si>
    <t xml:space="preserve">Imogen Bennett</t>
  </si>
  <si>
    <t xml:space="preserve">UC-0172</t>
  </si>
  <si>
    <t xml:space="preserve">Niall Nduka</t>
  </si>
  <si>
    <t xml:space="preserve">UC-0173</t>
  </si>
  <si>
    <t xml:space="preserve">Tom Patel</t>
  </si>
  <si>
    <t xml:space="preserve">UC-0174</t>
  </si>
  <si>
    <t xml:space="preserve">Bart Evans</t>
  </si>
  <si>
    <t xml:space="preserve">People &amp; Culture</t>
  </si>
  <si>
    <t xml:space="preserve">UC-0175</t>
  </si>
  <si>
    <t xml:space="preserve">Casey Santos</t>
  </si>
  <si>
    <t xml:space="preserve">UC-0176</t>
  </si>
  <si>
    <t xml:space="preserve">Amara Mansouri</t>
  </si>
  <si>
    <t xml:space="preserve">UC-0177</t>
  </si>
  <si>
    <t xml:space="preserve">Adaeze Nair</t>
  </si>
  <si>
    <t xml:space="preserve">UC-0178</t>
  </si>
  <si>
    <t xml:space="preserve">Adebayo Buckley</t>
  </si>
  <si>
    <t xml:space="preserve">UC-0179</t>
  </si>
  <si>
    <t xml:space="preserve">Idris Whitfield</t>
  </si>
  <si>
    <t xml:space="preserve">UC-0180</t>
  </si>
  <si>
    <t xml:space="preserve">Daniel Novak</t>
  </si>
  <si>
    <t xml:space="preserve">UC-0181</t>
  </si>
  <si>
    <t xml:space="preserve">Aoife Moreau</t>
  </si>
  <si>
    <t xml:space="preserve">UC-0182</t>
  </si>
  <si>
    <t xml:space="preserve">Tariq Evans</t>
  </si>
  <si>
    <t xml:space="preserve">UC-0183</t>
  </si>
  <si>
    <t xml:space="preserve">Saoirse Okafor</t>
  </si>
  <si>
    <t xml:space="preserve">UC-0184</t>
  </si>
  <si>
    <t xml:space="preserve">Nneka Balogun</t>
  </si>
  <si>
    <t xml:space="preserve">UC-0185</t>
  </si>
  <si>
    <t xml:space="preserve">Hugo Oh</t>
  </si>
  <si>
    <t xml:space="preserve">UC-0186</t>
  </si>
  <si>
    <t xml:space="preserve">Imogen Kovacs</t>
  </si>
  <si>
    <t xml:space="preserve">UC-0187</t>
  </si>
  <si>
    <t xml:space="preserve">Solange Rao</t>
  </si>
  <si>
    <t xml:space="preserve">UC-0188</t>
  </si>
  <si>
    <t xml:space="preserve">Olivia Blake</t>
  </si>
  <si>
    <t xml:space="preserve">UC-0189</t>
  </si>
  <si>
    <t xml:space="preserve">Cian Fernandez</t>
  </si>
  <si>
    <t xml:space="preserve">UC-0190</t>
  </si>
  <si>
    <t xml:space="preserve">Natalie Mwangi</t>
  </si>
  <si>
    <t xml:space="preserve">UC-0191</t>
  </si>
  <si>
    <t xml:space="preserve">James Fernandez</t>
  </si>
  <si>
    <t xml:space="preserve">UC-0192</t>
  </si>
  <si>
    <t xml:space="preserve">Seun Vasquez</t>
  </si>
  <si>
    <t xml:space="preserve">UC-0193</t>
  </si>
  <si>
    <t xml:space="preserve">Priya Kurosawa</t>
  </si>
  <si>
    <t xml:space="preserve">UC-0194</t>
  </si>
  <si>
    <t xml:space="preserve">Tom Nwosu</t>
  </si>
  <si>
    <t xml:space="preserve">UC-0195</t>
  </si>
  <si>
    <t xml:space="preserve">Zara MacLeod</t>
  </si>
  <si>
    <t xml:space="preserve">UC-0196</t>
  </si>
  <si>
    <t xml:space="preserve">Keiko Lin</t>
  </si>
  <si>
    <t xml:space="preserve">UC-0197</t>
  </si>
  <si>
    <t xml:space="preserve">Esther McCarthy</t>
  </si>
  <si>
    <t xml:space="preserve">UC-0198</t>
  </si>
  <si>
    <t xml:space="preserve">Yuki Rahimi</t>
  </si>
  <si>
    <t xml:space="preserve">UC-0199</t>
  </si>
  <si>
    <t xml:space="preserve">Yemi Nair</t>
  </si>
  <si>
    <t xml:space="preserve">UC-0200</t>
  </si>
  <si>
    <t xml:space="preserve">Callum Carrington</t>
  </si>
  <si>
    <t xml:space="preserve">Chapter 3 — Counting &amp; Headcount</t>
  </si>
  <si>
    <t xml:space="preserve">Formulas reference the 'Employee Data' sheet in this workbook.</t>
  </si>
  <si>
    <t xml:space="preserve">COUNT FAMILY</t>
  </si>
  <si>
    <t xml:space="preserve">Total employees (COUNTA)</t>
  </si>
  <si>
    <t xml:space="preserve">→ 200</t>
  </si>
  <si>
    <t xml:space="preserve">Employees with salary on record (COUNT)</t>
  </si>
  <si>
    <t xml:space="preserve">→ 200 (data quality check)</t>
  </si>
  <si>
    <t xml:space="preserve">Employees never promoted (COUNTBLANK)</t>
  </si>
  <si>
    <t xml:space="preserve">→ ~59 (Juniors too new + some Mids)</t>
  </si>
  <si>
    <t xml:space="preserve">COUNTIF — Single Condition</t>
  </si>
  <si>
    <t xml:space="preserve">Headcount: Technology</t>
  </si>
  <si>
    <t xml:space="preserve">Headcount: Strategy</t>
  </si>
  <si>
    <t xml:space="preserve">Headcount: Finance</t>
  </si>
  <si>
    <t xml:space="preserve">Headcount: Operations</t>
  </si>
  <si>
    <t xml:space="preserve">Headcount: People &amp; Culture</t>
  </si>
  <si>
    <t xml:space="preserve">Senior-level employees</t>
  </si>
  <si>
    <t xml:space="preserve">Remote workers</t>
  </si>
  <si>
    <t xml:space="preserve">Hybrid workers</t>
  </si>
  <si>
    <t xml:space="preserve">Employees rated 4 or above (&gt;=4)</t>
  </si>
  <si>
    <t xml:space="preserve">Voluntary leavers (total)</t>
  </si>
  <si>
    <t xml:space="preserve">COUNTIFS — Multiple Conditions</t>
  </si>
  <si>
    <t xml:space="preserve">Technology leavers</t>
  </si>
  <si>
    <t xml:space="preserve">→ 13 — the attrition story</t>
  </si>
  <si>
    <t xml:space="preserve">Female Senior employees</t>
  </si>
  <si>
    <t xml:space="preserve">Male Leads in London</t>
  </si>
  <si>
    <t xml:space="preserve">High performers who left (≥4 AND leaver)</t>
  </si>
  <si>
    <t xml:space="preserve">→ majority of leavers — alarming</t>
  </si>
  <si>
    <t xml:space="preserve">Try It Yourself — Answers</t>
  </si>
  <si>
    <t xml:space="preserve">Q1: Total headcount</t>
  </si>
  <si>
    <t xml:space="preserve">Q2: Missing salaries?</t>
  </si>
  <si>
    <t xml:space="preserve">→ 0 (none missing)</t>
  </si>
  <si>
    <t xml:space="preserve">Q3: Office workers in Manchester</t>
  </si>
  <si>
    <t xml:space="preserve">Q4: Junior leavers</t>
  </si>
  <si>
    <t xml:space="preserve">Q5: Remote AND rated 5</t>
  </si>
  <si>
    <t xml:space="preserve">Chapter 4 — Salary Cost &amp; SUMIF</t>
  </si>
  <si>
    <t xml:space="preserve">SUM, SUMIF, SUMIFS, SUMPRODUCT.</t>
  </si>
  <si>
    <t xml:space="preserve">TOTAL SALARY</t>
  </si>
  <si>
    <t xml:space="preserve">Total salary bill</t>
  </si>
  <si>
    <t xml:space="preserve">Total bonus cost</t>
  </si>
  <si>
    <t xml:space="preserve">Multiply each salary × bonus%, sum all</t>
  </si>
  <si>
    <t xml:space="preserve">Total cash compensation</t>
  </si>
  <si>
    <t xml:space="preserve">Leavers' combined salary</t>
  </si>
  <si>
    <t xml:space="preserve">Cost-of-attrition starting point</t>
  </si>
  <si>
    <t xml:space="preserve">SUMIF — Department Salary Costs</t>
  </si>
  <si>
    <t xml:space="preserve">Total salary — Technology</t>
  </si>
  <si>
    <t xml:space="preserve">Total salary — Strategy</t>
  </si>
  <si>
    <t xml:space="preserve">Total salary — Finance</t>
  </si>
  <si>
    <t xml:space="preserve">Total salary — Operations</t>
  </si>
  <si>
    <t xml:space="preserve">Total salary — People &amp; Culture</t>
  </si>
  <si>
    <t xml:space="preserve">SUMIF — Other Cuts</t>
  </si>
  <si>
    <t xml:space="preserve">Total salary — Senior level</t>
  </si>
  <si>
    <t xml:space="preserve">Total salary — Remote workers</t>
  </si>
  <si>
    <t xml:space="preserve">SUMIFS — Multiple Conditions</t>
  </si>
  <si>
    <t xml:space="preserve">Salary — Female Seniors</t>
  </si>
  <si>
    <t xml:space="preserve">Salary — Hybrid, Technology dept</t>
  </si>
  <si>
    <t xml:space="preserve">Bonus cost — Performance ≥4 (SUMPRODUCT)</t>
  </si>
  <si>
    <t xml:space="preserve">Array-style SUMPRODUCT — no helper column needed</t>
  </si>
  <si>
    <t xml:space="preserve">Tech leavers' total salary</t>
  </si>
  <si>
    <t xml:space="preserve">AVERAGE COST</t>
  </si>
  <si>
    <t xml:space="preserve">Average salary — all staff</t>
  </si>
  <si>
    <t xml:space="preserve">Average salary — Technology</t>
  </si>
  <si>
    <t xml:space="preserve">Average salary — Operations</t>
  </si>
  <si>
    <t xml:space="preserve">Chapter 5 — Averages &amp; Pay Equity</t>
  </si>
  <si>
    <t xml:space="preserve">Mean, Median, Mode — and the gender pay gap.</t>
  </si>
  <si>
    <t xml:space="preserve">MEAN, MEDIAN, MODE</t>
  </si>
  <si>
    <t xml:space="preserve">Mean salary</t>
  </si>
  <si>
    <t xml:space="preserve">Median salary</t>
  </si>
  <si>
    <t xml:space="preserve">Compare: median lower due to high-earner skew</t>
  </si>
  <si>
    <t xml:space="preserve">Mean–Median gap</t>
  </si>
  <si>
    <t xml:space="preserve">Gap reveals right-skew from Directors</t>
  </si>
  <si>
    <t xml:space="preserve">Mean age</t>
  </si>
  <si>
    <t xml:space="preserve">Mean tenure</t>
  </si>
  <si>
    <t xml:space="preserve">Most common performance rating (MODE)</t>
  </si>
  <si>
    <t xml:space="preserve">→ 3</t>
  </si>
  <si>
    <t xml:space="preserve">GENDER PAY GAP — OVERALL</t>
  </si>
  <si>
    <t xml:space="preserve">Mean salary — Female</t>
  </si>
  <si>
    <t xml:space="preserve">Mean salary — Male</t>
  </si>
  <si>
    <t xml:space="preserve">Mean gap % (M higher than F)</t>
  </si>
  <si>
    <t xml:space="preserve">Format as % — ~8.7%</t>
  </si>
  <si>
    <t xml:space="preserve">GAP WITHIN JOB LEVELS (controls for level mix)</t>
  </si>
  <si>
    <t xml:space="preserve">Female mean salary — Junior</t>
  </si>
  <si>
    <t xml:space="preserve">Male mean salary — Junior</t>
  </si>
  <si>
    <t xml:space="preserve">Female mean salary — Mid</t>
  </si>
  <si>
    <t xml:space="preserve">Male mean salary — Mid</t>
  </si>
  <si>
    <t xml:space="preserve">Female mean salary — Senior</t>
  </si>
  <si>
    <t xml:space="preserve">Male mean salary — Senior</t>
  </si>
  <si>
    <t xml:space="preserve">Female mean salary — Lead</t>
  </si>
  <si>
    <t xml:space="preserve">Male mean salary — Lead</t>
  </si>
  <si>
    <t xml:space="preserve">Female mean salary — Director</t>
  </si>
  <si>
    <t xml:space="preserve">Male mean salary — Director</t>
  </si>
  <si>
    <t xml:space="preserve">Chapter 6 — Spread &amp; Outliers</t>
  </si>
  <si>
    <t xml:space="preserve">MIN, MAX, STDEV — identifying unusual values.</t>
  </si>
  <si>
    <t xml:space="preserve">RANGE &amp; STANDARD DEVIATION</t>
  </si>
  <si>
    <t xml:space="preserve">Minimum salary</t>
  </si>
  <si>
    <t xml:space="preserve">Maximum salary</t>
  </si>
  <si>
    <t xml:space="preserve">Salary range (max–min)</t>
  </si>
  <si>
    <t xml:space="preserve">Standard deviation of salary</t>
  </si>
  <si>
    <t xml:space="preserve">Spread around the mean</t>
  </si>
  <si>
    <t xml:space="preserve">Coefficient of variation</t>
  </si>
  <si>
    <t xml:space="preserve">Format as % — relative spread</t>
  </si>
  <si>
    <t xml:space="preserve">OUTLIER DETECTION (2-StDev rule)</t>
  </si>
  <si>
    <t xml:space="preserve">Upper outlier threshold (Mean+2×StDev)</t>
  </si>
  <si>
    <t xml:space="preserve">Lower outlier threshold (Mean–2×StDev)</t>
  </si>
  <si>
    <t xml:space="preserve">Count of employees above upper threshold</t>
  </si>
  <si>
    <t xml:space="preserve">SPREAD BY DEPARTMENT (array formulas)</t>
  </si>
  <si>
    <t xml:space="preserve">Salary StDev — Technology</t>
  </si>
  <si>
    <t xml:space="preserve">Ctrl+Shift+Enter in older Excel (array formula)</t>
  </si>
  <si>
    <t xml:space="preserve">Salary StDev — Strategy</t>
  </si>
  <si>
    <t xml:space="preserve">Salary StDev — Finance</t>
  </si>
  <si>
    <t xml:space="preserve">Salary StDev — Operations</t>
  </si>
  <si>
    <t xml:space="preserve">Salary StDev — People &amp; Culture</t>
  </si>
  <si>
    <t xml:space="preserve">Chapter 7 — Attrition Analysis</t>
  </si>
  <si>
    <t xml:space="preserve">Rates, profiles, and the cost of losing people.</t>
  </si>
  <si>
    <t xml:space="preserve">ATTRITION RATES</t>
  </si>
  <si>
    <t xml:space="preserve">Overall attrition rate</t>
  </si>
  <si>
    <t xml:space="preserve">Format as % — ~15.5%</t>
  </si>
  <si>
    <t xml:space="preserve">Attrition rate — Technology</t>
  </si>
  <si>
    <t xml:space="preserve">Format as % ← HIGHEST — nearly double average</t>
  </si>
  <si>
    <t xml:space="preserve">Attrition rate — Strategy</t>
  </si>
  <si>
    <t xml:space="preserve">Format as %</t>
  </si>
  <si>
    <t xml:space="preserve">Attrition rate — Finance</t>
  </si>
  <si>
    <t xml:space="preserve">Attrition rate — Operations</t>
  </si>
  <si>
    <t xml:space="preserve">Format as % ← LOWEST — stable workforce</t>
  </si>
  <si>
    <t xml:space="preserve">Attrition rate — People &amp; Culture</t>
  </si>
  <si>
    <t xml:space="preserve">LEAVER vs STAYER PROFILE</t>
  </si>
  <si>
    <t xml:space="preserve">Leaver avg performance</t>
  </si>
  <si>
    <t xml:space="preserve">→ ~4.00 — losing HIGH performers</t>
  </si>
  <si>
    <t xml:space="preserve">Stayer avg performance</t>
  </si>
  <si>
    <t xml:space="preserve">→ ~3.25 — gap is the alarm signal</t>
  </si>
  <si>
    <t xml:space="preserve">Leaver avg tenure</t>
  </si>
  <si>
    <t xml:space="preserve">Tech leaver avg performance</t>
  </si>
  <si>
    <t xml:space="preserve">High performers (≥4) who left</t>
  </si>
  <si>
    <t xml:space="preserve">COST OF ATTRITION</t>
  </si>
  <si>
    <t xml:space="preserve">Conservative replacement cost (×50%)</t>
  </si>
  <si>
    <t xml:space="preserve">High-end replacement cost (×200%)</t>
  </si>
  <si>
    <t xml:space="preserve">Chapter 7 — Correlation Analysis</t>
  </si>
  <si>
    <t xml:space="preserve">CORREL — relationships between workforce variables.</t>
  </si>
  <si>
    <t xml:space="preserve">CORREL FORMULAS</t>
  </si>
  <si>
    <t xml:space="preserve">Tenure vs Salary (overall)</t>
  </si>
  <si>
    <t xml:space="preserve">~0.86 — strong, but see confounding note below</t>
  </si>
  <si>
    <t xml:space="preserve">Performance vs Salary (unconditional)</t>
  </si>
  <si>
    <t xml:space="preserve">~0.27 — suppressed by level effect</t>
  </si>
  <si>
    <t xml:space="preserve">Training Hours vs Performance</t>
  </si>
  <si>
    <t xml:space="preserve">~0.31 — weak-moderate; not causal</t>
  </si>
  <si>
    <t xml:space="preserve">Age vs Salary</t>
  </si>
  <si>
    <t xml:space="preserve">WITHIN-LEVEL CORRELATIONS (array formulas, Ctrl+Shift+Enter)</t>
  </si>
  <si>
    <t xml:space="preserve">Tenure vs Salary — Senior only</t>
  </si>
  <si>
    <t xml:space="preserve">~0.40 — much weaker than overall; the true within-level signal</t>
  </si>
  <si>
    <t xml:space="preserve">Perf vs Salary — Senior only</t>
  </si>
  <si>
    <t xml:space="preserve">~0.61 — stronger; within level, performance matters more than across all levels</t>
  </si>
  <si>
    <t xml:space="preserve">INTERPRETATION GUIDE</t>
  </si>
  <si>
    <t xml:space="preserve">Coefficient Range</t>
  </si>
  <si>
    <t xml:space="preserve">Interpretation</t>
  </si>
  <si>
    <t xml:space="preserve">Unreal Consulting Example</t>
  </si>
  <si>
    <t xml:space="preserve">0.80–1.00</t>
  </si>
  <si>
    <t xml:space="preserve">Very strong positive</t>
  </si>
  <si>
    <t xml:space="preserve">Tenure–Salary overall (0.86) — confounded by level</t>
  </si>
  <si>
    <t xml:space="preserve">0.50–0.79</t>
  </si>
  <si>
    <t xml:space="preserve">Moderate–Strong</t>
  </si>
  <si>
    <t xml:space="preserve">Perf–Salary within levels (0.61–0.79)</t>
  </si>
  <si>
    <t xml:space="preserve">0.30–0.49</t>
  </si>
  <si>
    <t xml:space="preserve">Moderate</t>
  </si>
  <si>
    <t xml:space="preserve">Training–Performance (0.31)</t>
  </si>
  <si>
    <t xml:space="preserve">0.10–0.29</t>
  </si>
  <si>
    <t xml:space="preserve">Weak–Moderate</t>
  </si>
  <si>
    <t xml:space="preserve">Perf–Salary unconditional (0.27)</t>
  </si>
  <si>
    <t xml:space="preserve">-0.10–0.10</t>
  </si>
  <si>
    <t xml:space="preserve">Negligible</t>
  </si>
  <si>
    <t xml:space="preserve">No meaningful linear relationship</t>
  </si>
  <si>
    <t xml:space="preserve">Chapter 9 — Expected Pivot Table Outputs</t>
  </si>
  <si>
    <t xml:space="preserve">Reference: what your Pivot Tables should show.</t>
  </si>
  <si>
    <t xml:space="preserve">Headcount &amp; Attrition by Department</t>
  </si>
  <si>
    <t xml:space="preserve">Headcount</t>
  </si>
  <si>
    <t xml:space="preserve">Leavers</t>
  </si>
  <si>
    <t xml:space="preserve">Attrition %</t>
  </si>
  <si>
    <t xml:space="preserve">Note</t>
  </si>
  <si>
    <t xml:space="preserve">26.0%</t>
  </si>
  <si>
    <t xml:space="preserve">← Highest — nearly double average</t>
  </si>
  <si>
    <t xml:space="preserve">15.0%</t>
  </si>
  <si>
    <t xml:space="preserve">13.2%</t>
  </si>
  <si>
    <t xml:space="preserve">6.7%</t>
  </si>
  <si>
    <t xml:space="preserve">← Lowest — stable workforce</t>
  </si>
  <si>
    <t xml:space="preserve">14.8%</t>
  </si>
  <si>
    <t xml:space="preserve">TOTAL</t>
  </si>
  <si>
    <t xml:space="preserve">15.5%</t>
  </si>
  <si>
    <t xml:space="preserve">Overall company attrition</t>
  </si>
  <si>
    <t xml:space="preserve">Average Salary by Level &amp; Gender (what your Pivot should show)</t>
  </si>
  <si>
    <t xml:space="preserve">Gap %</t>
  </si>
  <si>
    <t xml:space="preserve">Director note</t>
  </si>
  <si>
    <t xml:space="preserve">£32,538</t>
  </si>
  <si>
    <t xml:space="preserve">£36,286</t>
  </si>
  <si>
    <t xml:space="preserve">10.3%</t>
  </si>
  <si>
    <t xml:space="preserve">£50,185</t>
  </si>
  <si>
    <t xml:space="preserve">£54,743</t>
  </si>
  <si>
    <t xml:space="preserve">8.3%</t>
  </si>
  <si>
    <t xml:space="preserve">£78,500</t>
  </si>
  <si>
    <t xml:space="preserve">£83,125</t>
  </si>
  <si>
    <t xml:space="preserve">5.6%</t>
  </si>
  <si>
    <t xml:space="preserve">£100,250</t>
  </si>
  <si>
    <t xml:space="preserve">£115,000</t>
  </si>
  <si>
    <t xml:space="preserve">12.8%</t>
  </si>
  <si>
    <t xml:space="preserve">Small n (10F, 8M) — caveat</t>
  </si>
  <si>
    <t xml:space="preserve">—</t>
  </si>
  <si>
    <t xml:space="preserve">£139,500</t>
  </si>
  <si>
    <t xml:space="preserve">n/a</t>
  </si>
  <si>
    <t xml:space="preserve">No female Directors in Finance or Operations — flag for HR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</si>
</sst>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\£#,##0"/>
    <numFmt numFmtId="168" formatCode="0.0\%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392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9E79F"/>
        <bgColor rgb="FFFADBD8"/>
      </patternFill>
    </fill>
    <fill>
      <patternFill patternType="solid">
        <fgColor rgb="FFE8F4FD"/>
        <bgColor rgb="FFF2F2F2"/>
      </patternFill>
    </fill>
    <fill>
      <patternFill patternType="solid">
        <fgColor rgb="FFFADBD8"/>
        <bgColor rgb="FFF2F2F2"/>
      </patternFill>
    </fill>
    <fill>
      <patternFill patternType="solid">
        <fgColor rgb="FFA9DFBF"/>
        <bgColor rgb="FFBFBFBF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2F2F2"/>
        <bgColor rgb="FFE8F4FD"/>
      </patternFill>
    </fill>
    <fill>
      <patternFill patternType="solid">
        <fgColor rgb="FFC9A84C"/>
        <bgColor rgb="FFE67E22"/>
      </patternFill>
    </fill>
    <fill>
      <patternFill patternType="solid">
        <fgColor rgb="FFD6E4F0"/>
        <bgColor rgb="FFE8F4F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A9DFB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67E22"/>
      <rgbColor rgb="FF595959"/>
      <rgbColor rgb="FFC9A84C"/>
      <rgbColor rgb="FF1F3864"/>
      <rgbColor rgb="FF1E8449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2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7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4" min="13" style="1" width="15"/>
    <col collapsed="false" customWidth="true" hidden="false" outlineLevel="0" max="15" min="15" style="1" width="16"/>
    <col collapsed="false" customWidth="true" hidden="false" outlineLevel="0" max="16" min="16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customFormat="false" ht="15.75" hidden="false" customHeight="true" outlineLevel="0" collapsed="false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6" t="n">
        <v>50</v>
      </c>
      <c r="I3" s="7" t="n">
        <v>7.1</v>
      </c>
      <c r="J3" s="8" t="n">
        <v>149500</v>
      </c>
      <c r="K3" s="9" t="n">
        <v>21.2</v>
      </c>
      <c r="L3" s="10" t="n">
        <v>3</v>
      </c>
      <c r="M3" s="6" t="n">
        <v>22</v>
      </c>
      <c r="N3" s="6" t="n">
        <v>2022</v>
      </c>
      <c r="O3" s="4" t="s">
        <v>24</v>
      </c>
      <c r="P3" s="4" t="s">
        <v>25</v>
      </c>
    </row>
    <row r="4" customFormat="false" ht="15.75" hidden="false" customHeight="true" outlineLevel="0" collapsed="false">
      <c r="A4" s="11" t="s">
        <v>26</v>
      </c>
      <c r="B4" s="12" t="s">
        <v>27</v>
      </c>
      <c r="C4" s="12" t="s">
        <v>19</v>
      </c>
      <c r="D4" s="12" t="s">
        <v>20</v>
      </c>
      <c r="E4" s="12" t="s">
        <v>21</v>
      </c>
      <c r="F4" s="12" t="s">
        <v>22</v>
      </c>
      <c r="G4" s="12" t="s">
        <v>28</v>
      </c>
      <c r="H4" s="13" t="n">
        <v>49</v>
      </c>
      <c r="I4" s="14" t="n">
        <v>11.5</v>
      </c>
      <c r="J4" s="15" t="n">
        <v>137000</v>
      </c>
      <c r="K4" s="16" t="n">
        <v>19.2</v>
      </c>
      <c r="L4" s="10" t="n">
        <v>3</v>
      </c>
      <c r="M4" s="13" t="n">
        <v>13</v>
      </c>
      <c r="N4" s="13" t="n">
        <v>2021</v>
      </c>
      <c r="O4" s="11" t="s">
        <v>24</v>
      </c>
      <c r="P4" s="11" t="s">
        <v>25</v>
      </c>
    </row>
    <row r="5" customFormat="false" ht="15.75" hidden="false" customHeight="true" outlineLevel="0" collapsed="false">
      <c r="A5" s="4" t="s">
        <v>29</v>
      </c>
      <c r="B5" s="5" t="s">
        <v>30</v>
      </c>
      <c r="C5" s="5" t="s">
        <v>19</v>
      </c>
      <c r="D5" s="5" t="s">
        <v>20</v>
      </c>
      <c r="E5" s="5" t="s">
        <v>21</v>
      </c>
      <c r="F5" s="5" t="s">
        <v>31</v>
      </c>
      <c r="G5" s="5" t="s">
        <v>32</v>
      </c>
      <c r="H5" s="6" t="n">
        <v>42</v>
      </c>
      <c r="I5" s="7" t="n">
        <v>11.2</v>
      </c>
      <c r="J5" s="8" t="n">
        <v>139500</v>
      </c>
      <c r="K5" s="9" t="n">
        <v>21.4</v>
      </c>
      <c r="L5" s="10" t="n">
        <v>3</v>
      </c>
      <c r="M5" s="6" t="n">
        <v>15</v>
      </c>
      <c r="N5" s="6" t="n">
        <v>2024</v>
      </c>
      <c r="O5" s="4" t="s">
        <v>24</v>
      </c>
      <c r="P5" s="4" t="s">
        <v>25</v>
      </c>
    </row>
    <row r="6" customFormat="false" ht="15.75" hidden="false" customHeight="true" outlineLevel="0" collapsed="false">
      <c r="A6" s="11" t="s">
        <v>33</v>
      </c>
      <c r="B6" s="12" t="s">
        <v>34</v>
      </c>
      <c r="C6" s="12" t="s">
        <v>19</v>
      </c>
      <c r="D6" s="12" t="s">
        <v>35</v>
      </c>
      <c r="E6" s="12" t="s">
        <v>21</v>
      </c>
      <c r="F6" s="12" t="s">
        <v>22</v>
      </c>
      <c r="G6" s="12" t="s">
        <v>32</v>
      </c>
      <c r="H6" s="13" t="n">
        <v>30</v>
      </c>
      <c r="I6" s="14" t="n">
        <v>9.4</v>
      </c>
      <c r="J6" s="15" t="n">
        <v>102000</v>
      </c>
      <c r="K6" s="16" t="n">
        <v>18.6</v>
      </c>
      <c r="L6" s="10" t="n">
        <v>3</v>
      </c>
      <c r="M6" s="13" t="n">
        <v>14</v>
      </c>
      <c r="N6" s="13" t="n">
        <v>2020</v>
      </c>
      <c r="O6" s="11" t="s">
        <v>24</v>
      </c>
      <c r="P6" s="11" t="s">
        <v>17</v>
      </c>
    </row>
    <row r="7" customFormat="false" ht="15.75" hidden="false" customHeight="true" outlineLevel="0" collapsed="false">
      <c r="A7" s="17" t="s">
        <v>36</v>
      </c>
      <c r="B7" s="18" t="s">
        <v>37</v>
      </c>
      <c r="C7" s="18" t="s">
        <v>19</v>
      </c>
      <c r="D7" s="18" t="s">
        <v>35</v>
      </c>
      <c r="E7" s="18" t="s">
        <v>38</v>
      </c>
      <c r="F7" s="18" t="s">
        <v>22</v>
      </c>
      <c r="G7" s="18" t="s">
        <v>32</v>
      </c>
      <c r="H7" s="19" t="n">
        <v>42</v>
      </c>
      <c r="I7" s="20" t="n">
        <v>5.3</v>
      </c>
      <c r="J7" s="21" t="n">
        <v>104500</v>
      </c>
      <c r="K7" s="22" t="n">
        <v>16.2</v>
      </c>
      <c r="L7" s="23" t="n">
        <v>4</v>
      </c>
      <c r="M7" s="19" t="n">
        <v>22</v>
      </c>
      <c r="N7" s="19" t="n">
        <v>2021</v>
      </c>
      <c r="O7" s="17" t="s">
        <v>39</v>
      </c>
      <c r="P7" s="17" t="s">
        <v>17</v>
      </c>
    </row>
    <row r="8" customFormat="false" ht="15.75" hidden="false" customHeight="true" outlineLevel="0" collapsed="false">
      <c r="A8" s="11" t="s">
        <v>40</v>
      </c>
      <c r="B8" s="12" t="s">
        <v>41</v>
      </c>
      <c r="C8" s="12" t="s">
        <v>19</v>
      </c>
      <c r="D8" s="12" t="s">
        <v>35</v>
      </c>
      <c r="E8" s="12" t="s">
        <v>21</v>
      </c>
      <c r="F8" s="12" t="s">
        <v>31</v>
      </c>
      <c r="G8" s="12" t="s">
        <v>23</v>
      </c>
      <c r="H8" s="13" t="n">
        <v>35</v>
      </c>
      <c r="I8" s="14" t="n">
        <v>7.6</v>
      </c>
      <c r="J8" s="15" t="n">
        <v>108500</v>
      </c>
      <c r="K8" s="16" t="n">
        <v>14.9</v>
      </c>
      <c r="L8" s="10" t="n">
        <v>3</v>
      </c>
      <c r="M8" s="13" t="n">
        <v>18</v>
      </c>
      <c r="N8" s="13" t="n">
        <v>2023</v>
      </c>
      <c r="O8" s="11" t="s">
        <v>24</v>
      </c>
      <c r="P8" s="11" t="s">
        <v>17</v>
      </c>
    </row>
    <row r="9" customFormat="false" ht="15.75" hidden="false" customHeight="true" outlineLevel="0" collapsed="false">
      <c r="A9" s="4" t="s">
        <v>42</v>
      </c>
      <c r="B9" s="5" t="s">
        <v>43</v>
      </c>
      <c r="C9" s="5" t="s">
        <v>19</v>
      </c>
      <c r="D9" s="5" t="s">
        <v>35</v>
      </c>
      <c r="E9" s="5" t="s">
        <v>21</v>
      </c>
      <c r="F9" s="5" t="s">
        <v>22</v>
      </c>
      <c r="G9" s="5" t="s">
        <v>23</v>
      </c>
      <c r="H9" s="6" t="n">
        <v>42</v>
      </c>
      <c r="I9" s="7" t="n">
        <v>8.8</v>
      </c>
      <c r="J9" s="8" t="n">
        <v>123500</v>
      </c>
      <c r="K9" s="9" t="n">
        <v>18.6</v>
      </c>
      <c r="L9" s="23" t="n">
        <v>4</v>
      </c>
      <c r="M9" s="6" t="n">
        <v>16</v>
      </c>
      <c r="N9" s="6" t="n">
        <v>2023</v>
      </c>
      <c r="O9" s="4" t="s">
        <v>24</v>
      </c>
      <c r="P9" s="4" t="s">
        <v>17</v>
      </c>
    </row>
    <row r="10" customFormat="false" ht="15.75" hidden="false" customHeight="true" outlineLevel="0" collapsed="false">
      <c r="A10" s="11" t="s">
        <v>44</v>
      </c>
      <c r="B10" s="12" t="s">
        <v>45</v>
      </c>
      <c r="C10" s="12" t="s">
        <v>19</v>
      </c>
      <c r="D10" s="12" t="s">
        <v>35</v>
      </c>
      <c r="E10" s="12" t="s">
        <v>21</v>
      </c>
      <c r="F10" s="12" t="s">
        <v>46</v>
      </c>
      <c r="G10" s="12" t="s">
        <v>23</v>
      </c>
      <c r="H10" s="13" t="n">
        <v>29</v>
      </c>
      <c r="I10" s="14" t="n">
        <v>6</v>
      </c>
      <c r="J10" s="15" t="n">
        <v>123000</v>
      </c>
      <c r="K10" s="16" t="n">
        <v>19.1</v>
      </c>
      <c r="L10" s="24" t="n">
        <v>5</v>
      </c>
      <c r="M10" s="13" t="n">
        <v>17</v>
      </c>
      <c r="N10" s="13" t="n">
        <v>2024</v>
      </c>
      <c r="O10" s="11" t="s">
        <v>24</v>
      </c>
      <c r="P10" s="11" t="s">
        <v>17</v>
      </c>
    </row>
    <row r="11" customFormat="false" ht="15.75" hidden="false" customHeight="true" outlineLevel="0" collapsed="false">
      <c r="A11" s="4" t="s">
        <v>47</v>
      </c>
      <c r="B11" s="5" t="s">
        <v>48</v>
      </c>
      <c r="C11" s="5" t="s">
        <v>19</v>
      </c>
      <c r="D11" s="5" t="s">
        <v>35</v>
      </c>
      <c r="E11" s="5" t="s">
        <v>21</v>
      </c>
      <c r="F11" s="5" t="s">
        <v>31</v>
      </c>
      <c r="G11" s="5" t="s">
        <v>23</v>
      </c>
      <c r="H11" s="6" t="n">
        <v>36</v>
      </c>
      <c r="I11" s="7" t="n">
        <v>9.6</v>
      </c>
      <c r="J11" s="8" t="n">
        <v>117500</v>
      </c>
      <c r="K11" s="9" t="n">
        <v>18.1</v>
      </c>
      <c r="L11" s="23" t="n">
        <v>4</v>
      </c>
      <c r="M11" s="6" t="n">
        <v>18</v>
      </c>
      <c r="N11" s="6" t="n">
        <v>2023</v>
      </c>
      <c r="O11" s="4" t="s">
        <v>24</v>
      </c>
      <c r="P11" s="4" t="s">
        <v>17</v>
      </c>
    </row>
    <row r="12" customFormat="false" ht="15.75" hidden="false" customHeight="true" outlineLevel="0" collapsed="false">
      <c r="A12" s="11" t="s">
        <v>49</v>
      </c>
      <c r="B12" s="12" t="s">
        <v>50</v>
      </c>
      <c r="C12" s="12" t="s">
        <v>19</v>
      </c>
      <c r="D12" s="12" t="s">
        <v>35</v>
      </c>
      <c r="E12" s="12" t="s">
        <v>21</v>
      </c>
      <c r="F12" s="12" t="s">
        <v>22</v>
      </c>
      <c r="G12" s="12" t="s">
        <v>32</v>
      </c>
      <c r="H12" s="13" t="n">
        <v>42</v>
      </c>
      <c r="I12" s="14" t="n">
        <v>6.9</v>
      </c>
      <c r="J12" s="15" t="n">
        <v>111000</v>
      </c>
      <c r="K12" s="16" t="n">
        <v>19.5</v>
      </c>
      <c r="L12" s="24" t="n">
        <v>5</v>
      </c>
      <c r="M12" s="13" t="n">
        <v>15</v>
      </c>
      <c r="N12" s="13" t="n">
        <v>2022</v>
      </c>
      <c r="O12" s="11" t="s">
        <v>24</v>
      </c>
      <c r="P12" s="11" t="s">
        <v>17</v>
      </c>
    </row>
    <row r="13" customFormat="false" ht="15.75" hidden="false" customHeight="true" outlineLevel="0" collapsed="false">
      <c r="A13" s="17" t="s">
        <v>51</v>
      </c>
      <c r="B13" s="18" t="s">
        <v>52</v>
      </c>
      <c r="C13" s="18" t="s">
        <v>19</v>
      </c>
      <c r="D13" s="18" t="s">
        <v>53</v>
      </c>
      <c r="E13" s="18" t="s">
        <v>21</v>
      </c>
      <c r="F13" s="18" t="s">
        <v>46</v>
      </c>
      <c r="G13" s="18" t="s">
        <v>32</v>
      </c>
      <c r="H13" s="19" t="n">
        <v>36</v>
      </c>
      <c r="I13" s="20" t="n">
        <v>6.5</v>
      </c>
      <c r="J13" s="21" t="n">
        <v>90000</v>
      </c>
      <c r="K13" s="22" t="n">
        <v>13.8</v>
      </c>
      <c r="L13" s="24" t="n">
        <v>5</v>
      </c>
      <c r="M13" s="19" t="n">
        <v>34</v>
      </c>
      <c r="N13" s="19" t="n">
        <v>2021</v>
      </c>
      <c r="O13" s="17" t="s">
        <v>39</v>
      </c>
      <c r="P13" s="17" t="s">
        <v>33</v>
      </c>
    </row>
    <row r="14" customFormat="false" ht="15.75" hidden="false" customHeight="true" outlineLevel="0" collapsed="false">
      <c r="A14" s="11" t="s">
        <v>54</v>
      </c>
      <c r="B14" s="12" t="s">
        <v>55</v>
      </c>
      <c r="C14" s="12" t="s">
        <v>19</v>
      </c>
      <c r="D14" s="12" t="s">
        <v>53</v>
      </c>
      <c r="E14" s="12" t="s">
        <v>21</v>
      </c>
      <c r="F14" s="12" t="s">
        <v>22</v>
      </c>
      <c r="G14" s="12" t="s">
        <v>23</v>
      </c>
      <c r="H14" s="13" t="n">
        <v>34</v>
      </c>
      <c r="I14" s="14" t="n">
        <v>7.1</v>
      </c>
      <c r="J14" s="15" t="n">
        <v>83500</v>
      </c>
      <c r="K14" s="16" t="n">
        <v>14.6</v>
      </c>
      <c r="L14" s="10" t="n">
        <v>3</v>
      </c>
      <c r="M14" s="13" t="n">
        <v>23</v>
      </c>
      <c r="N14" s="13" t="n">
        <v>2021</v>
      </c>
      <c r="O14" s="11" t="s">
        <v>24</v>
      </c>
      <c r="P14" s="11" t="s">
        <v>33</v>
      </c>
    </row>
    <row r="15" customFormat="false" ht="15.75" hidden="false" customHeight="true" outlineLevel="0" collapsed="false">
      <c r="A15" s="4" t="s">
        <v>56</v>
      </c>
      <c r="B15" s="5" t="s">
        <v>57</v>
      </c>
      <c r="C15" s="5" t="s">
        <v>19</v>
      </c>
      <c r="D15" s="5" t="s">
        <v>53</v>
      </c>
      <c r="E15" s="5" t="s">
        <v>58</v>
      </c>
      <c r="F15" s="5" t="s">
        <v>31</v>
      </c>
      <c r="G15" s="5" t="s">
        <v>32</v>
      </c>
      <c r="H15" s="6" t="n">
        <v>28</v>
      </c>
      <c r="I15" s="7" t="n">
        <v>4.7</v>
      </c>
      <c r="J15" s="8" t="n">
        <v>79500</v>
      </c>
      <c r="K15" s="9" t="n">
        <v>11.4</v>
      </c>
      <c r="L15" s="10" t="n">
        <v>3</v>
      </c>
      <c r="M15" s="6" t="n">
        <v>20</v>
      </c>
      <c r="N15" s="6" t="n">
        <v>2021</v>
      </c>
      <c r="O15" s="4" t="s">
        <v>24</v>
      </c>
      <c r="P15" s="4" t="s">
        <v>33</v>
      </c>
    </row>
    <row r="16" customFormat="false" ht="15.75" hidden="false" customHeight="true" outlineLevel="0" collapsed="false">
      <c r="A16" s="11" t="s">
        <v>59</v>
      </c>
      <c r="B16" s="12" t="s">
        <v>60</v>
      </c>
      <c r="C16" s="12" t="s">
        <v>19</v>
      </c>
      <c r="D16" s="12" t="s">
        <v>53</v>
      </c>
      <c r="E16" s="12" t="s">
        <v>21</v>
      </c>
      <c r="F16" s="12" t="s">
        <v>22</v>
      </c>
      <c r="G16" s="12" t="s">
        <v>23</v>
      </c>
      <c r="H16" s="13" t="n">
        <v>30</v>
      </c>
      <c r="I16" s="14" t="n">
        <v>3.2</v>
      </c>
      <c r="J16" s="15" t="n">
        <v>81500</v>
      </c>
      <c r="K16" s="16" t="n">
        <v>13.1</v>
      </c>
      <c r="L16" s="10" t="n">
        <v>3</v>
      </c>
      <c r="M16" s="13" t="n">
        <v>22</v>
      </c>
      <c r="N16" s="13" t="n">
        <v>2023</v>
      </c>
      <c r="O16" s="11" t="s">
        <v>24</v>
      </c>
      <c r="P16" s="11" t="s">
        <v>33</v>
      </c>
    </row>
    <row r="17" customFormat="false" ht="15.75" hidden="false" customHeight="true" outlineLevel="0" collapsed="false">
      <c r="A17" s="17" t="s">
        <v>61</v>
      </c>
      <c r="B17" s="18" t="s">
        <v>62</v>
      </c>
      <c r="C17" s="18" t="s">
        <v>19</v>
      </c>
      <c r="D17" s="18" t="s">
        <v>53</v>
      </c>
      <c r="E17" s="18" t="s">
        <v>38</v>
      </c>
      <c r="F17" s="18" t="s">
        <v>31</v>
      </c>
      <c r="G17" s="18" t="s">
        <v>23</v>
      </c>
      <c r="H17" s="19" t="n">
        <v>26</v>
      </c>
      <c r="I17" s="20" t="n">
        <v>7.9</v>
      </c>
      <c r="J17" s="21" t="n">
        <v>92000</v>
      </c>
      <c r="K17" s="22" t="n">
        <v>12.1</v>
      </c>
      <c r="L17" s="23" t="n">
        <v>4</v>
      </c>
      <c r="M17" s="19" t="n">
        <v>22</v>
      </c>
      <c r="N17" s="19" t="n">
        <v>2020</v>
      </c>
      <c r="O17" s="17" t="s">
        <v>39</v>
      </c>
      <c r="P17" s="17" t="s">
        <v>33</v>
      </c>
    </row>
    <row r="18" customFormat="false" ht="15.75" hidden="false" customHeight="true" outlineLevel="0" collapsed="false">
      <c r="A18" s="11" t="s">
        <v>63</v>
      </c>
      <c r="B18" s="12" t="s">
        <v>64</v>
      </c>
      <c r="C18" s="12" t="s">
        <v>19</v>
      </c>
      <c r="D18" s="12" t="s">
        <v>53</v>
      </c>
      <c r="E18" s="12" t="s">
        <v>21</v>
      </c>
      <c r="F18" s="12" t="s">
        <v>46</v>
      </c>
      <c r="G18" s="12" t="s">
        <v>32</v>
      </c>
      <c r="H18" s="13" t="n">
        <v>33</v>
      </c>
      <c r="I18" s="14" t="n">
        <v>2.1</v>
      </c>
      <c r="J18" s="15" t="n">
        <v>80000</v>
      </c>
      <c r="K18" s="16" t="n">
        <v>13.4</v>
      </c>
      <c r="L18" s="23" t="n">
        <v>4</v>
      </c>
      <c r="M18" s="13" t="n">
        <v>20</v>
      </c>
      <c r="N18" s="13" t="n">
        <v>2024</v>
      </c>
      <c r="O18" s="11" t="s">
        <v>24</v>
      </c>
      <c r="P18" s="11" t="s">
        <v>33</v>
      </c>
    </row>
    <row r="19" customFormat="false" ht="15.75" hidden="false" customHeight="true" outlineLevel="0" collapsed="false">
      <c r="A19" s="4" t="s">
        <v>65</v>
      </c>
      <c r="B19" s="5" t="s">
        <v>66</v>
      </c>
      <c r="C19" s="5" t="s">
        <v>19</v>
      </c>
      <c r="D19" s="5" t="s">
        <v>53</v>
      </c>
      <c r="E19" s="5" t="s">
        <v>58</v>
      </c>
      <c r="F19" s="5" t="s">
        <v>22</v>
      </c>
      <c r="G19" s="5" t="s">
        <v>23</v>
      </c>
      <c r="H19" s="6" t="n">
        <v>34</v>
      </c>
      <c r="I19" s="7" t="n">
        <v>3.2</v>
      </c>
      <c r="J19" s="8" t="n">
        <v>85000</v>
      </c>
      <c r="K19" s="9" t="n">
        <v>12.4</v>
      </c>
      <c r="L19" s="10" t="n">
        <v>3</v>
      </c>
      <c r="M19" s="6" t="n">
        <v>15</v>
      </c>
      <c r="N19" s="6" t="n">
        <v>2022</v>
      </c>
      <c r="O19" s="4" t="s">
        <v>24</v>
      </c>
      <c r="P19" s="4" t="s">
        <v>33</v>
      </c>
    </row>
    <row r="20" customFormat="false" ht="15.75" hidden="false" customHeight="true" outlineLevel="0" collapsed="false">
      <c r="A20" s="11" t="s">
        <v>67</v>
      </c>
      <c r="B20" s="12" t="s">
        <v>68</v>
      </c>
      <c r="C20" s="12" t="s">
        <v>19</v>
      </c>
      <c r="D20" s="12" t="s">
        <v>53</v>
      </c>
      <c r="E20" s="12" t="s">
        <v>38</v>
      </c>
      <c r="F20" s="12" t="s">
        <v>46</v>
      </c>
      <c r="G20" s="12" t="s">
        <v>32</v>
      </c>
      <c r="H20" s="13" t="n">
        <v>37</v>
      </c>
      <c r="I20" s="14" t="n">
        <v>4.5</v>
      </c>
      <c r="J20" s="15" t="n">
        <v>75000</v>
      </c>
      <c r="K20" s="16" t="n">
        <v>10.9</v>
      </c>
      <c r="L20" s="10" t="n">
        <v>3</v>
      </c>
      <c r="M20" s="13" t="n">
        <v>13</v>
      </c>
      <c r="N20" s="13" t="n">
        <v>2022</v>
      </c>
      <c r="O20" s="11" t="s">
        <v>24</v>
      </c>
      <c r="P20" s="11" t="s">
        <v>33</v>
      </c>
    </row>
    <row r="21" customFormat="false" ht="15.75" hidden="false" customHeight="true" outlineLevel="0" collapsed="false">
      <c r="A21" s="4" t="s">
        <v>69</v>
      </c>
      <c r="B21" s="5" t="s">
        <v>70</v>
      </c>
      <c r="C21" s="5" t="s">
        <v>19</v>
      </c>
      <c r="D21" s="5" t="s">
        <v>53</v>
      </c>
      <c r="E21" s="5" t="s">
        <v>21</v>
      </c>
      <c r="F21" s="5" t="s">
        <v>31</v>
      </c>
      <c r="G21" s="5" t="s">
        <v>23</v>
      </c>
      <c r="H21" s="6" t="n">
        <v>35</v>
      </c>
      <c r="I21" s="7" t="n">
        <v>5.8</v>
      </c>
      <c r="J21" s="8" t="n">
        <v>80500</v>
      </c>
      <c r="K21" s="9" t="n">
        <v>12.4</v>
      </c>
      <c r="L21" s="10" t="n">
        <v>3</v>
      </c>
      <c r="M21" s="6" t="n">
        <v>21</v>
      </c>
      <c r="N21" s="6" t="n">
        <v>2023</v>
      </c>
      <c r="O21" s="4" t="s">
        <v>24</v>
      </c>
      <c r="P21" s="4" t="s">
        <v>33</v>
      </c>
    </row>
    <row r="22" customFormat="false" ht="15.75" hidden="false" customHeight="true" outlineLevel="0" collapsed="false">
      <c r="A22" s="11" t="s">
        <v>71</v>
      </c>
      <c r="B22" s="12" t="s">
        <v>72</v>
      </c>
      <c r="C22" s="12" t="s">
        <v>19</v>
      </c>
      <c r="D22" s="12" t="s">
        <v>53</v>
      </c>
      <c r="E22" s="12" t="s">
        <v>21</v>
      </c>
      <c r="F22" s="12" t="s">
        <v>22</v>
      </c>
      <c r="G22" s="12" t="s">
        <v>32</v>
      </c>
      <c r="H22" s="13" t="n">
        <v>33</v>
      </c>
      <c r="I22" s="14" t="n">
        <v>4.2</v>
      </c>
      <c r="J22" s="15" t="n">
        <v>83000</v>
      </c>
      <c r="K22" s="16" t="n">
        <v>15.4</v>
      </c>
      <c r="L22" s="23" t="n">
        <v>4</v>
      </c>
      <c r="M22" s="13" t="n">
        <v>18</v>
      </c>
      <c r="N22" s="13" t="n">
        <v>2022</v>
      </c>
      <c r="O22" s="11" t="s">
        <v>24</v>
      </c>
      <c r="P22" s="11" t="s">
        <v>33</v>
      </c>
    </row>
    <row r="23" customFormat="false" ht="15.75" hidden="false" customHeight="true" outlineLevel="0" collapsed="false">
      <c r="A23" s="17" t="s">
        <v>73</v>
      </c>
      <c r="B23" s="18" t="s">
        <v>74</v>
      </c>
      <c r="C23" s="18" t="s">
        <v>19</v>
      </c>
      <c r="D23" s="18" t="s">
        <v>53</v>
      </c>
      <c r="E23" s="18" t="s">
        <v>21</v>
      </c>
      <c r="F23" s="18" t="s">
        <v>46</v>
      </c>
      <c r="G23" s="18" t="s">
        <v>23</v>
      </c>
      <c r="H23" s="19" t="n">
        <v>34</v>
      </c>
      <c r="I23" s="20" t="n">
        <v>7.4</v>
      </c>
      <c r="J23" s="21" t="n">
        <v>95500</v>
      </c>
      <c r="K23" s="22" t="n">
        <v>13</v>
      </c>
      <c r="L23" s="23" t="n">
        <v>4</v>
      </c>
      <c r="M23" s="19" t="n">
        <v>22</v>
      </c>
      <c r="N23" s="19" t="n">
        <v>2021</v>
      </c>
      <c r="O23" s="17" t="s">
        <v>39</v>
      </c>
      <c r="P23" s="17" t="s">
        <v>33</v>
      </c>
    </row>
    <row r="24" customFormat="false" ht="15.75" hidden="false" customHeight="true" outlineLevel="0" collapsed="false">
      <c r="A24" s="11" t="s">
        <v>75</v>
      </c>
      <c r="B24" s="12" t="s">
        <v>76</v>
      </c>
      <c r="C24" s="12" t="s">
        <v>19</v>
      </c>
      <c r="D24" s="12" t="s">
        <v>53</v>
      </c>
      <c r="E24" s="12" t="s">
        <v>21</v>
      </c>
      <c r="F24" s="12" t="s">
        <v>46</v>
      </c>
      <c r="G24" s="12" t="s">
        <v>23</v>
      </c>
      <c r="H24" s="13" t="n">
        <v>37</v>
      </c>
      <c r="I24" s="14" t="n">
        <v>9.4</v>
      </c>
      <c r="J24" s="15" t="n">
        <v>90000</v>
      </c>
      <c r="K24" s="16" t="n">
        <v>11.8</v>
      </c>
      <c r="L24" s="10" t="n">
        <v>3</v>
      </c>
      <c r="M24" s="13" t="n">
        <v>21</v>
      </c>
      <c r="N24" s="13" t="n">
        <v>2021</v>
      </c>
      <c r="O24" s="11" t="s">
        <v>24</v>
      </c>
      <c r="P24" s="11" t="s">
        <v>33</v>
      </c>
    </row>
    <row r="25" customFormat="false" ht="15.75" hidden="false" customHeight="true" outlineLevel="0" collapsed="false">
      <c r="A25" s="4" t="s">
        <v>77</v>
      </c>
      <c r="B25" s="5" t="s">
        <v>78</v>
      </c>
      <c r="C25" s="5" t="s">
        <v>19</v>
      </c>
      <c r="D25" s="5" t="s">
        <v>79</v>
      </c>
      <c r="E25" s="5" t="s">
        <v>21</v>
      </c>
      <c r="F25" s="5" t="s">
        <v>31</v>
      </c>
      <c r="G25" s="5" t="s">
        <v>32</v>
      </c>
      <c r="H25" s="6" t="n">
        <v>30</v>
      </c>
      <c r="I25" s="7" t="n">
        <v>2.2</v>
      </c>
      <c r="J25" s="8" t="n">
        <v>55000</v>
      </c>
      <c r="K25" s="9" t="n">
        <v>8.7</v>
      </c>
      <c r="L25" s="23" t="n">
        <v>4</v>
      </c>
      <c r="M25" s="6" t="n">
        <v>20</v>
      </c>
      <c r="N25" s="6" t="n">
        <v>2023</v>
      </c>
      <c r="O25" s="4" t="s">
        <v>24</v>
      </c>
      <c r="P25" s="4" t="s">
        <v>51</v>
      </c>
    </row>
    <row r="26" customFormat="false" ht="15.75" hidden="false" customHeight="true" outlineLevel="0" collapsed="false">
      <c r="A26" s="17" t="s">
        <v>80</v>
      </c>
      <c r="B26" s="18" t="s">
        <v>81</v>
      </c>
      <c r="C26" s="18" t="s">
        <v>19</v>
      </c>
      <c r="D26" s="18" t="s">
        <v>79</v>
      </c>
      <c r="E26" s="18" t="s">
        <v>38</v>
      </c>
      <c r="F26" s="18" t="s">
        <v>46</v>
      </c>
      <c r="G26" s="18" t="s">
        <v>32</v>
      </c>
      <c r="H26" s="19" t="n">
        <v>33</v>
      </c>
      <c r="I26" s="20" t="n">
        <v>3.5</v>
      </c>
      <c r="J26" s="21" t="n">
        <v>58500</v>
      </c>
      <c r="K26" s="22" t="n">
        <v>8.5</v>
      </c>
      <c r="L26" s="23" t="n">
        <v>4</v>
      </c>
      <c r="M26" s="19" t="n">
        <v>28</v>
      </c>
      <c r="N26" s="19" t="n">
        <v>2023</v>
      </c>
      <c r="O26" s="17" t="s">
        <v>39</v>
      </c>
      <c r="P26" s="17" t="s">
        <v>51</v>
      </c>
    </row>
    <row r="27" customFormat="false" ht="15.75" hidden="false" customHeight="true" outlineLevel="0" collapsed="false">
      <c r="A27" s="17" t="s">
        <v>82</v>
      </c>
      <c r="B27" s="18" t="s">
        <v>83</v>
      </c>
      <c r="C27" s="18" t="s">
        <v>19</v>
      </c>
      <c r="D27" s="18" t="s">
        <v>79</v>
      </c>
      <c r="E27" s="18" t="s">
        <v>21</v>
      </c>
      <c r="F27" s="18" t="s">
        <v>31</v>
      </c>
      <c r="G27" s="18" t="s">
        <v>32</v>
      </c>
      <c r="H27" s="19" t="n">
        <v>29</v>
      </c>
      <c r="I27" s="20" t="n">
        <v>2.8</v>
      </c>
      <c r="J27" s="21" t="n">
        <v>50500</v>
      </c>
      <c r="K27" s="22" t="n">
        <v>8.6</v>
      </c>
      <c r="L27" s="10" t="n">
        <v>3</v>
      </c>
      <c r="M27" s="19" t="n">
        <v>20</v>
      </c>
      <c r="N27" s="19" t="n">
        <v>2024</v>
      </c>
      <c r="O27" s="17" t="s">
        <v>39</v>
      </c>
      <c r="P27" s="17" t="s">
        <v>51</v>
      </c>
    </row>
    <row r="28" customFormat="false" ht="15.75" hidden="false" customHeight="true" outlineLevel="0" collapsed="false">
      <c r="A28" s="11" t="s">
        <v>84</v>
      </c>
      <c r="B28" s="12" t="s">
        <v>85</v>
      </c>
      <c r="C28" s="12" t="s">
        <v>19</v>
      </c>
      <c r="D28" s="12" t="s">
        <v>79</v>
      </c>
      <c r="E28" s="12" t="s">
        <v>21</v>
      </c>
      <c r="F28" s="12" t="s">
        <v>46</v>
      </c>
      <c r="G28" s="12" t="s">
        <v>23</v>
      </c>
      <c r="H28" s="13" t="n">
        <v>28</v>
      </c>
      <c r="I28" s="14" t="n">
        <v>1.4</v>
      </c>
      <c r="J28" s="15" t="n">
        <v>46000</v>
      </c>
      <c r="K28" s="16" t="n">
        <v>6.4</v>
      </c>
      <c r="L28" s="25" t="n">
        <v>1</v>
      </c>
      <c r="M28" s="13" t="n">
        <v>9</v>
      </c>
      <c r="N28" s="13" t="n">
        <v>2024</v>
      </c>
      <c r="O28" s="11" t="s">
        <v>24</v>
      </c>
      <c r="P28" s="11" t="s">
        <v>51</v>
      </c>
    </row>
    <row r="29" customFormat="false" ht="15.75" hidden="false" customHeight="true" outlineLevel="0" collapsed="false">
      <c r="A29" s="4" t="s">
        <v>86</v>
      </c>
      <c r="B29" s="5" t="s">
        <v>87</v>
      </c>
      <c r="C29" s="5" t="s">
        <v>19</v>
      </c>
      <c r="D29" s="5" t="s">
        <v>79</v>
      </c>
      <c r="E29" s="5" t="s">
        <v>21</v>
      </c>
      <c r="F29" s="5" t="s">
        <v>22</v>
      </c>
      <c r="G29" s="5" t="s">
        <v>32</v>
      </c>
      <c r="H29" s="6" t="n">
        <v>30</v>
      </c>
      <c r="I29" s="7" t="n">
        <v>3.9</v>
      </c>
      <c r="J29" s="8" t="n">
        <v>54500</v>
      </c>
      <c r="K29" s="9" t="n">
        <v>9.5</v>
      </c>
      <c r="L29" s="23" t="n">
        <v>4</v>
      </c>
      <c r="M29" s="6" t="n">
        <v>35</v>
      </c>
      <c r="N29" s="6" t="n">
        <v>2022</v>
      </c>
      <c r="O29" s="4" t="s">
        <v>24</v>
      </c>
      <c r="P29" s="4" t="s">
        <v>51</v>
      </c>
    </row>
    <row r="30" customFormat="false" ht="15.75" hidden="false" customHeight="true" outlineLevel="0" collapsed="false">
      <c r="A30" s="11" t="s">
        <v>88</v>
      </c>
      <c r="B30" s="12" t="s">
        <v>89</v>
      </c>
      <c r="C30" s="12" t="s">
        <v>19</v>
      </c>
      <c r="D30" s="12" t="s">
        <v>79</v>
      </c>
      <c r="E30" s="12" t="s">
        <v>21</v>
      </c>
      <c r="F30" s="12" t="s">
        <v>22</v>
      </c>
      <c r="G30" s="12" t="s">
        <v>23</v>
      </c>
      <c r="H30" s="13" t="n">
        <v>26</v>
      </c>
      <c r="I30" s="14" t="n">
        <v>2.6</v>
      </c>
      <c r="J30" s="15" t="n">
        <v>54000</v>
      </c>
      <c r="K30" s="16" t="n">
        <v>8.3</v>
      </c>
      <c r="L30" s="10" t="n">
        <v>3</v>
      </c>
      <c r="M30" s="13" t="n">
        <v>19</v>
      </c>
      <c r="N30" s="13" t="n">
        <v>2023</v>
      </c>
      <c r="O30" s="11" t="s">
        <v>24</v>
      </c>
      <c r="P30" s="11" t="s">
        <v>51</v>
      </c>
    </row>
    <row r="31" customFormat="false" ht="15.75" hidden="false" customHeight="true" outlineLevel="0" collapsed="false">
      <c r="A31" s="4" t="s">
        <v>90</v>
      </c>
      <c r="B31" s="5" t="s">
        <v>91</v>
      </c>
      <c r="C31" s="5" t="s">
        <v>19</v>
      </c>
      <c r="D31" s="5" t="s">
        <v>79</v>
      </c>
      <c r="E31" s="5" t="s">
        <v>21</v>
      </c>
      <c r="F31" s="5" t="s">
        <v>22</v>
      </c>
      <c r="G31" s="5" t="s">
        <v>23</v>
      </c>
      <c r="H31" s="6" t="n">
        <v>32</v>
      </c>
      <c r="I31" s="7" t="n">
        <v>4.5</v>
      </c>
      <c r="J31" s="8" t="n">
        <v>55500</v>
      </c>
      <c r="K31" s="9" t="n">
        <v>6.7</v>
      </c>
      <c r="L31" s="10" t="n">
        <v>3</v>
      </c>
      <c r="M31" s="6" t="n">
        <v>26</v>
      </c>
      <c r="N31" s="6" t="n">
        <v>2024</v>
      </c>
      <c r="O31" s="4" t="s">
        <v>24</v>
      </c>
      <c r="P31" s="4" t="s">
        <v>51</v>
      </c>
    </row>
    <row r="32" customFormat="false" ht="15.75" hidden="false" customHeight="true" outlineLevel="0" collapsed="false">
      <c r="A32" s="17" t="s">
        <v>92</v>
      </c>
      <c r="B32" s="18" t="s">
        <v>93</v>
      </c>
      <c r="C32" s="18" t="s">
        <v>19</v>
      </c>
      <c r="D32" s="18" t="s">
        <v>79</v>
      </c>
      <c r="E32" s="18" t="s">
        <v>21</v>
      </c>
      <c r="F32" s="18" t="s">
        <v>31</v>
      </c>
      <c r="G32" s="18" t="s">
        <v>23</v>
      </c>
      <c r="H32" s="19" t="n">
        <v>28</v>
      </c>
      <c r="I32" s="20" t="n">
        <v>5.5</v>
      </c>
      <c r="J32" s="21" t="n">
        <v>66500</v>
      </c>
      <c r="K32" s="22" t="n">
        <v>11.1</v>
      </c>
      <c r="L32" s="24" t="n">
        <v>5</v>
      </c>
      <c r="M32" s="19" t="n">
        <v>36</v>
      </c>
      <c r="N32" s="19" t="n">
        <v>2023</v>
      </c>
      <c r="O32" s="17" t="s">
        <v>39</v>
      </c>
      <c r="P32" s="17" t="s">
        <v>51</v>
      </c>
    </row>
    <row r="33" customFormat="false" ht="15.75" hidden="false" customHeight="true" outlineLevel="0" collapsed="false">
      <c r="A33" s="4" t="s">
        <v>94</v>
      </c>
      <c r="B33" s="5" t="s">
        <v>95</v>
      </c>
      <c r="C33" s="5" t="s">
        <v>19</v>
      </c>
      <c r="D33" s="5" t="s">
        <v>79</v>
      </c>
      <c r="E33" s="5" t="s">
        <v>21</v>
      </c>
      <c r="F33" s="5" t="s">
        <v>46</v>
      </c>
      <c r="G33" s="5" t="s">
        <v>32</v>
      </c>
      <c r="H33" s="6" t="n">
        <v>25</v>
      </c>
      <c r="I33" s="7" t="n">
        <v>4</v>
      </c>
      <c r="J33" s="8" t="n">
        <v>56000</v>
      </c>
      <c r="K33" s="9" t="n">
        <v>9.5</v>
      </c>
      <c r="L33" s="23" t="n">
        <v>4</v>
      </c>
      <c r="M33" s="6" t="n">
        <v>28</v>
      </c>
      <c r="N33" s="6" t="n">
        <v>2022</v>
      </c>
      <c r="O33" s="4" t="s">
        <v>24</v>
      </c>
      <c r="P33" s="4" t="s">
        <v>51</v>
      </c>
    </row>
    <row r="34" customFormat="false" ht="15.75" hidden="false" customHeight="true" outlineLevel="0" collapsed="false">
      <c r="A34" s="11" t="s">
        <v>96</v>
      </c>
      <c r="B34" s="12" t="s">
        <v>97</v>
      </c>
      <c r="C34" s="12" t="s">
        <v>19</v>
      </c>
      <c r="D34" s="12" t="s">
        <v>79</v>
      </c>
      <c r="E34" s="12" t="s">
        <v>21</v>
      </c>
      <c r="F34" s="12" t="s">
        <v>22</v>
      </c>
      <c r="G34" s="12" t="s">
        <v>32</v>
      </c>
      <c r="H34" s="13" t="n">
        <v>28</v>
      </c>
      <c r="I34" s="14" t="n">
        <v>4.3</v>
      </c>
      <c r="J34" s="15" t="n">
        <v>55500</v>
      </c>
      <c r="K34" s="16" t="n">
        <v>8.2</v>
      </c>
      <c r="L34" s="23" t="n">
        <v>4</v>
      </c>
      <c r="M34" s="13" t="n">
        <v>22</v>
      </c>
      <c r="N34" s="13" t="n">
        <v>2024</v>
      </c>
      <c r="O34" s="11" t="s">
        <v>24</v>
      </c>
      <c r="P34" s="11" t="s">
        <v>51</v>
      </c>
    </row>
    <row r="35" customFormat="false" ht="15.75" hidden="false" customHeight="true" outlineLevel="0" collapsed="false">
      <c r="A35" s="4" t="s">
        <v>98</v>
      </c>
      <c r="B35" s="5" t="s">
        <v>99</v>
      </c>
      <c r="C35" s="5" t="s">
        <v>19</v>
      </c>
      <c r="D35" s="5" t="s">
        <v>79</v>
      </c>
      <c r="E35" s="5" t="s">
        <v>21</v>
      </c>
      <c r="F35" s="5" t="s">
        <v>46</v>
      </c>
      <c r="G35" s="5" t="s">
        <v>23</v>
      </c>
      <c r="H35" s="6" t="n">
        <v>29</v>
      </c>
      <c r="I35" s="7" t="n">
        <v>1.4</v>
      </c>
      <c r="J35" s="8" t="n">
        <v>61000</v>
      </c>
      <c r="K35" s="9" t="n">
        <v>8.1</v>
      </c>
      <c r="L35" s="23" t="n">
        <v>4</v>
      </c>
      <c r="M35" s="6" t="n">
        <v>27</v>
      </c>
      <c r="N35" s="6" t="n">
        <v>2024</v>
      </c>
      <c r="O35" s="4" t="s">
        <v>24</v>
      </c>
      <c r="P35" s="4" t="s">
        <v>51</v>
      </c>
    </row>
    <row r="36" customFormat="false" ht="15.75" hidden="false" customHeight="true" outlineLevel="0" collapsed="false">
      <c r="A36" s="11" t="s">
        <v>100</v>
      </c>
      <c r="B36" s="12" t="s">
        <v>101</v>
      </c>
      <c r="C36" s="12" t="s">
        <v>19</v>
      </c>
      <c r="D36" s="12" t="s">
        <v>79</v>
      </c>
      <c r="E36" s="12" t="s">
        <v>38</v>
      </c>
      <c r="F36" s="12" t="s">
        <v>22</v>
      </c>
      <c r="G36" s="12" t="s">
        <v>23</v>
      </c>
      <c r="H36" s="13" t="n">
        <v>33</v>
      </c>
      <c r="I36" s="14" t="n">
        <v>3.1</v>
      </c>
      <c r="J36" s="15" t="n">
        <v>53000</v>
      </c>
      <c r="K36" s="16" t="n">
        <v>10.9</v>
      </c>
      <c r="L36" s="10" t="n">
        <v>3</v>
      </c>
      <c r="M36" s="13" t="n">
        <v>18</v>
      </c>
      <c r="N36" s="13" t="n">
        <v>2024</v>
      </c>
      <c r="O36" s="11" t="s">
        <v>24</v>
      </c>
      <c r="P36" s="11" t="s">
        <v>51</v>
      </c>
    </row>
    <row r="37" customFormat="false" ht="15.75" hidden="false" customHeight="true" outlineLevel="0" collapsed="false">
      <c r="A37" s="4" t="s">
        <v>102</v>
      </c>
      <c r="B37" s="5" t="s">
        <v>103</v>
      </c>
      <c r="C37" s="5" t="s">
        <v>19</v>
      </c>
      <c r="D37" s="5" t="s">
        <v>79</v>
      </c>
      <c r="E37" s="5" t="s">
        <v>38</v>
      </c>
      <c r="F37" s="5" t="s">
        <v>46</v>
      </c>
      <c r="G37" s="5" t="s">
        <v>23</v>
      </c>
      <c r="H37" s="6" t="n">
        <v>30</v>
      </c>
      <c r="I37" s="7" t="n">
        <v>3.9</v>
      </c>
      <c r="J37" s="8" t="n">
        <v>58000</v>
      </c>
      <c r="K37" s="9" t="n">
        <v>6.7</v>
      </c>
      <c r="L37" s="10" t="n">
        <v>3</v>
      </c>
      <c r="M37" s="6" t="n">
        <v>27</v>
      </c>
      <c r="N37" s="6" t="n">
        <v>2022</v>
      </c>
      <c r="O37" s="4" t="s">
        <v>24</v>
      </c>
      <c r="P37" s="4" t="s">
        <v>51</v>
      </c>
    </row>
    <row r="38" customFormat="false" ht="15.75" hidden="false" customHeight="true" outlineLevel="0" collapsed="false">
      <c r="A38" s="11" t="s">
        <v>104</v>
      </c>
      <c r="B38" s="12" t="s">
        <v>105</v>
      </c>
      <c r="C38" s="12" t="s">
        <v>19</v>
      </c>
      <c r="D38" s="12" t="s">
        <v>79</v>
      </c>
      <c r="E38" s="12" t="s">
        <v>21</v>
      </c>
      <c r="F38" s="12" t="s">
        <v>46</v>
      </c>
      <c r="G38" s="12" t="s">
        <v>23</v>
      </c>
      <c r="H38" s="13" t="n">
        <v>27</v>
      </c>
      <c r="I38" s="14" t="n">
        <v>3.7</v>
      </c>
      <c r="J38" s="15" t="n">
        <v>57000</v>
      </c>
      <c r="K38" s="16" t="n">
        <v>8.2</v>
      </c>
      <c r="L38" s="10" t="n">
        <v>3</v>
      </c>
      <c r="M38" s="13" t="n">
        <v>20</v>
      </c>
      <c r="N38" s="13" t="n">
        <v>2024</v>
      </c>
      <c r="O38" s="11" t="s">
        <v>24</v>
      </c>
      <c r="P38" s="11" t="s">
        <v>51</v>
      </c>
    </row>
    <row r="39" customFormat="false" ht="15.75" hidden="false" customHeight="true" outlineLevel="0" collapsed="false">
      <c r="A39" s="17" t="s">
        <v>106</v>
      </c>
      <c r="B39" s="18" t="s">
        <v>107</v>
      </c>
      <c r="C39" s="18" t="s">
        <v>19</v>
      </c>
      <c r="D39" s="18" t="s">
        <v>79</v>
      </c>
      <c r="E39" s="18" t="s">
        <v>21</v>
      </c>
      <c r="F39" s="18" t="s">
        <v>22</v>
      </c>
      <c r="G39" s="18" t="s">
        <v>23</v>
      </c>
      <c r="H39" s="19" t="n">
        <v>31</v>
      </c>
      <c r="I39" s="20" t="n">
        <v>3.5</v>
      </c>
      <c r="J39" s="21" t="n">
        <v>58500</v>
      </c>
      <c r="K39" s="22" t="n">
        <v>8.5</v>
      </c>
      <c r="L39" s="10" t="n">
        <v>3</v>
      </c>
      <c r="M39" s="19" t="n">
        <v>23</v>
      </c>
      <c r="N39" s="19" t="n">
        <v>2022</v>
      </c>
      <c r="O39" s="17" t="s">
        <v>39</v>
      </c>
      <c r="P39" s="17" t="s">
        <v>51</v>
      </c>
    </row>
    <row r="40" customFormat="false" ht="15.75" hidden="false" customHeight="true" outlineLevel="0" collapsed="false">
      <c r="A40" s="11" t="s">
        <v>108</v>
      </c>
      <c r="B40" s="12" t="s">
        <v>109</v>
      </c>
      <c r="C40" s="12" t="s">
        <v>19</v>
      </c>
      <c r="D40" s="12" t="s">
        <v>79</v>
      </c>
      <c r="E40" s="12" t="s">
        <v>21</v>
      </c>
      <c r="F40" s="12" t="s">
        <v>46</v>
      </c>
      <c r="G40" s="12" t="s">
        <v>23</v>
      </c>
      <c r="H40" s="13" t="n">
        <v>25</v>
      </c>
      <c r="I40" s="14" t="n">
        <v>2.3</v>
      </c>
      <c r="J40" s="15" t="n">
        <v>56500</v>
      </c>
      <c r="K40" s="16" t="n">
        <v>8.6</v>
      </c>
      <c r="L40" s="10" t="n">
        <v>3</v>
      </c>
      <c r="M40" s="13" t="n">
        <v>25</v>
      </c>
      <c r="N40" s="13" t="n">
        <v>2024</v>
      </c>
      <c r="O40" s="11" t="s">
        <v>24</v>
      </c>
      <c r="P40" s="11" t="s">
        <v>51</v>
      </c>
    </row>
    <row r="41" customFormat="false" ht="15.75" hidden="false" customHeight="true" outlineLevel="0" collapsed="false">
      <c r="A41" s="17" t="s">
        <v>110</v>
      </c>
      <c r="B41" s="18" t="s">
        <v>111</v>
      </c>
      <c r="C41" s="18" t="s">
        <v>19</v>
      </c>
      <c r="D41" s="18" t="s">
        <v>112</v>
      </c>
      <c r="E41" s="18" t="s">
        <v>21</v>
      </c>
      <c r="F41" s="18" t="s">
        <v>22</v>
      </c>
      <c r="G41" s="18" t="s">
        <v>23</v>
      </c>
      <c r="H41" s="19" t="n">
        <v>27</v>
      </c>
      <c r="I41" s="20" t="n">
        <v>2</v>
      </c>
      <c r="J41" s="21" t="n">
        <v>41500</v>
      </c>
      <c r="K41" s="22" t="n">
        <v>7.4</v>
      </c>
      <c r="L41" s="23" t="n">
        <v>4</v>
      </c>
      <c r="M41" s="19" t="n">
        <v>45</v>
      </c>
      <c r="N41" s="19"/>
      <c r="O41" s="17" t="s">
        <v>39</v>
      </c>
      <c r="P41" s="17" t="s">
        <v>77</v>
      </c>
    </row>
    <row r="42" customFormat="false" ht="15.75" hidden="false" customHeight="true" outlineLevel="0" collapsed="false">
      <c r="A42" s="17" t="s">
        <v>113</v>
      </c>
      <c r="B42" s="18" t="s">
        <v>114</v>
      </c>
      <c r="C42" s="18" t="s">
        <v>19</v>
      </c>
      <c r="D42" s="18" t="s">
        <v>112</v>
      </c>
      <c r="E42" s="18" t="s">
        <v>21</v>
      </c>
      <c r="F42" s="18" t="s">
        <v>22</v>
      </c>
      <c r="G42" s="18" t="s">
        <v>32</v>
      </c>
      <c r="H42" s="19" t="n">
        <v>23</v>
      </c>
      <c r="I42" s="20" t="n">
        <v>2.7</v>
      </c>
      <c r="J42" s="21" t="n">
        <v>40500</v>
      </c>
      <c r="K42" s="22" t="n">
        <v>5.1</v>
      </c>
      <c r="L42" s="23" t="n">
        <v>4</v>
      </c>
      <c r="M42" s="19" t="n">
        <v>44</v>
      </c>
      <c r="N42" s="19"/>
      <c r="O42" s="17" t="s">
        <v>39</v>
      </c>
      <c r="P42" s="17" t="s">
        <v>77</v>
      </c>
    </row>
    <row r="43" customFormat="false" ht="15.75" hidden="false" customHeight="true" outlineLevel="0" collapsed="false">
      <c r="A43" s="4" t="s">
        <v>115</v>
      </c>
      <c r="B43" s="5" t="s">
        <v>116</v>
      </c>
      <c r="C43" s="5" t="s">
        <v>19</v>
      </c>
      <c r="D43" s="5" t="s">
        <v>112</v>
      </c>
      <c r="E43" s="5" t="s">
        <v>21</v>
      </c>
      <c r="F43" s="5" t="s">
        <v>46</v>
      </c>
      <c r="G43" s="5" t="s">
        <v>32</v>
      </c>
      <c r="H43" s="6" t="n">
        <v>24</v>
      </c>
      <c r="I43" s="7" t="n">
        <v>1.2</v>
      </c>
      <c r="J43" s="8" t="n">
        <v>30000</v>
      </c>
      <c r="K43" s="9" t="n">
        <v>2.7</v>
      </c>
      <c r="L43" s="26" t="n">
        <v>2</v>
      </c>
      <c r="M43" s="6" t="n">
        <v>28</v>
      </c>
      <c r="N43" s="6"/>
      <c r="O43" s="4" t="s">
        <v>24</v>
      </c>
      <c r="P43" s="4" t="s">
        <v>77</v>
      </c>
    </row>
    <row r="44" customFormat="false" ht="15.75" hidden="false" customHeight="true" outlineLevel="0" collapsed="false">
      <c r="A44" s="11" t="s">
        <v>117</v>
      </c>
      <c r="B44" s="12" t="s">
        <v>118</v>
      </c>
      <c r="C44" s="12" t="s">
        <v>19</v>
      </c>
      <c r="D44" s="12" t="s">
        <v>112</v>
      </c>
      <c r="E44" s="12" t="s">
        <v>21</v>
      </c>
      <c r="F44" s="12" t="s">
        <v>46</v>
      </c>
      <c r="G44" s="12" t="s">
        <v>32</v>
      </c>
      <c r="H44" s="13" t="n">
        <v>24</v>
      </c>
      <c r="I44" s="14" t="n">
        <v>2.2</v>
      </c>
      <c r="J44" s="15" t="n">
        <v>35000</v>
      </c>
      <c r="K44" s="16" t="n">
        <v>6</v>
      </c>
      <c r="L44" s="10" t="n">
        <v>3</v>
      </c>
      <c r="M44" s="13" t="n">
        <v>27</v>
      </c>
      <c r="N44" s="13"/>
      <c r="O44" s="11" t="s">
        <v>24</v>
      </c>
      <c r="P44" s="11" t="s">
        <v>77</v>
      </c>
    </row>
    <row r="45" customFormat="false" ht="15.75" hidden="false" customHeight="true" outlineLevel="0" collapsed="false">
      <c r="A45" s="17" t="s">
        <v>119</v>
      </c>
      <c r="B45" s="18" t="s">
        <v>120</v>
      </c>
      <c r="C45" s="18" t="s">
        <v>19</v>
      </c>
      <c r="D45" s="18" t="s">
        <v>112</v>
      </c>
      <c r="E45" s="18" t="s">
        <v>21</v>
      </c>
      <c r="F45" s="18" t="s">
        <v>22</v>
      </c>
      <c r="G45" s="18" t="s">
        <v>23</v>
      </c>
      <c r="H45" s="19" t="n">
        <v>22</v>
      </c>
      <c r="I45" s="20" t="n">
        <v>1.8</v>
      </c>
      <c r="J45" s="21" t="n">
        <v>43000</v>
      </c>
      <c r="K45" s="22" t="n">
        <v>5.2</v>
      </c>
      <c r="L45" s="23" t="n">
        <v>4</v>
      </c>
      <c r="M45" s="19" t="n">
        <v>38</v>
      </c>
      <c r="N45" s="19" t="n">
        <v>2023</v>
      </c>
      <c r="O45" s="17" t="s">
        <v>39</v>
      </c>
      <c r="P45" s="17" t="s">
        <v>77</v>
      </c>
    </row>
    <row r="46" customFormat="false" ht="15.75" hidden="false" customHeight="true" outlineLevel="0" collapsed="false">
      <c r="A46" s="17" t="s">
        <v>121</v>
      </c>
      <c r="B46" s="18" t="s">
        <v>122</v>
      </c>
      <c r="C46" s="18" t="s">
        <v>19</v>
      </c>
      <c r="D46" s="18" t="s">
        <v>112</v>
      </c>
      <c r="E46" s="18" t="s">
        <v>58</v>
      </c>
      <c r="F46" s="18" t="s">
        <v>31</v>
      </c>
      <c r="G46" s="18" t="s">
        <v>32</v>
      </c>
      <c r="H46" s="19" t="n">
        <v>24</v>
      </c>
      <c r="I46" s="20" t="n">
        <v>1.3</v>
      </c>
      <c r="J46" s="21" t="n">
        <v>36500</v>
      </c>
      <c r="K46" s="22" t="n">
        <v>8.4</v>
      </c>
      <c r="L46" s="23" t="n">
        <v>4</v>
      </c>
      <c r="M46" s="19" t="n">
        <v>30</v>
      </c>
      <c r="N46" s="19"/>
      <c r="O46" s="17" t="s">
        <v>39</v>
      </c>
      <c r="P46" s="17" t="s">
        <v>77</v>
      </c>
    </row>
    <row r="47" customFormat="false" ht="15.75" hidden="false" customHeight="true" outlineLevel="0" collapsed="false">
      <c r="A47" s="4" t="s">
        <v>123</v>
      </c>
      <c r="B47" s="5" t="s">
        <v>124</v>
      </c>
      <c r="C47" s="5" t="s">
        <v>19</v>
      </c>
      <c r="D47" s="5" t="s">
        <v>112</v>
      </c>
      <c r="E47" s="5" t="s">
        <v>58</v>
      </c>
      <c r="F47" s="5" t="s">
        <v>46</v>
      </c>
      <c r="G47" s="5" t="s">
        <v>32</v>
      </c>
      <c r="H47" s="6" t="n">
        <v>22</v>
      </c>
      <c r="I47" s="7" t="n">
        <v>0.3</v>
      </c>
      <c r="J47" s="8" t="n">
        <v>34500</v>
      </c>
      <c r="K47" s="9" t="n">
        <v>2.6</v>
      </c>
      <c r="L47" s="10" t="n">
        <v>3</v>
      </c>
      <c r="M47" s="6" t="n">
        <v>36</v>
      </c>
      <c r="N47" s="6"/>
      <c r="O47" s="4" t="s">
        <v>24</v>
      </c>
      <c r="P47" s="4" t="s">
        <v>77</v>
      </c>
    </row>
    <row r="48" customFormat="false" ht="15.75" hidden="false" customHeight="true" outlineLevel="0" collapsed="false">
      <c r="A48" s="11" t="s">
        <v>125</v>
      </c>
      <c r="B48" s="12" t="s">
        <v>126</v>
      </c>
      <c r="C48" s="12" t="s">
        <v>19</v>
      </c>
      <c r="D48" s="12" t="s">
        <v>112</v>
      </c>
      <c r="E48" s="12" t="s">
        <v>58</v>
      </c>
      <c r="F48" s="12" t="s">
        <v>22</v>
      </c>
      <c r="G48" s="12" t="s">
        <v>23</v>
      </c>
      <c r="H48" s="13" t="n">
        <v>23</v>
      </c>
      <c r="I48" s="14" t="n">
        <v>0.3</v>
      </c>
      <c r="J48" s="15" t="n">
        <v>35000</v>
      </c>
      <c r="K48" s="16" t="n">
        <v>4.8</v>
      </c>
      <c r="L48" s="10" t="n">
        <v>3</v>
      </c>
      <c r="M48" s="13" t="n">
        <v>34</v>
      </c>
      <c r="N48" s="13"/>
      <c r="O48" s="11" t="s">
        <v>24</v>
      </c>
      <c r="P48" s="11" t="s">
        <v>77</v>
      </c>
    </row>
    <row r="49" customFormat="false" ht="15.75" hidden="false" customHeight="true" outlineLevel="0" collapsed="false">
      <c r="A49" s="4" t="s">
        <v>127</v>
      </c>
      <c r="B49" s="5" t="s">
        <v>128</v>
      </c>
      <c r="C49" s="5" t="s">
        <v>19</v>
      </c>
      <c r="D49" s="5" t="s">
        <v>112</v>
      </c>
      <c r="E49" s="5" t="s">
        <v>21</v>
      </c>
      <c r="F49" s="5" t="s">
        <v>46</v>
      </c>
      <c r="G49" s="5" t="s">
        <v>23</v>
      </c>
      <c r="H49" s="6" t="n">
        <v>23</v>
      </c>
      <c r="I49" s="7" t="n">
        <v>2.6</v>
      </c>
      <c r="J49" s="8" t="n">
        <v>40000</v>
      </c>
      <c r="K49" s="9" t="n">
        <v>2.5</v>
      </c>
      <c r="L49" s="10" t="n">
        <v>3</v>
      </c>
      <c r="M49" s="6" t="n">
        <v>30</v>
      </c>
      <c r="N49" s="6" t="n">
        <v>2023</v>
      </c>
      <c r="O49" s="4" t="s">
        <v>24</v>
      </c>
      <c r="P49" s="4" t="s">
        <v>77</v>
      </c>
    </row>
    <row r="50" customFormat="false" ht="15.75" hidden="false" customHeight="true" outlineLevel="0" collapsed="false">
      <c r="A50" s="11" t="s">
        <v>129</v>
      </c>
      <c r="B50" s="12" t="s">
        <v>130</v>
      </c>
      <c r="C50" s="12" t="s">
        <v>19</v>
      </c>
      <c r="D50" s="12" t="s">
        <v>112</v>
      </c>
      <c r="E50" s="12" t="s">
        <v>21</v>
      </c>
      <c r="F50" s="12" t="s">
        <v>22</v>
      </c>
      <c r="G50" s="12" t="s">
        <v>23</v>
      </c>
      <c r="H50" s="13" t="n">
        <v>24</v>
      </c>
      <c r="I50" s="14" t="n">
        <v>0.3</v>
      </c>
      <c r="J50" s="15" t="n">
        <v>42000</v>
      </c>
      <c r="K50" s="16" t="n">
        <v>5.3</v>
      </c>
      <c r="L50" s="23" t="n">
        <v>4</v>
      </c>
      <c r="M50" s="13" t="n">
        <v>45</v>
      </c>
      <c r="N50" s="13"/>
      <c r="O50" s="11" t="s">
        <v>24</v>
      </c>
      <c r="P50" s="11" t="s">
        <v>77</v>
      </c>
    </row>
    <row r="51" customFormat="false" ht="15.75" hidden="false" customHeight="true" outlineLevel="0" collapsed="false">
      <c r="A51" s="17" t="s">
        <v>131</v>
      </c>
      <c r="B51" s="18" t="s">
        <v>132</v>
      </c>
      <c r="C51" s="18" t="s">
        <v>19</v>
      </c>
      <c r="D51" s="18" t="s">
        <v>112</v>
      </c>
      <c r="E51" s="18" t="s">
        <v>21</v>
      </c>
      <c r="F51" s="18" t="s">
        <v>22</v>
      </c>
      <c r="G51" s="18" t="s">
        <v>23</v>
      </c>
      <c r="H51" s="19" t="n">
        <v>24</v>
      </c>
      <c r="I51" s="20" t="n">
        <v>2.2</v>
      </c>
      <c r="J51" s="21" t="n">
        <v>42500</v>
      </c>
      <c r="K51" s="22" t="n">
        <v>6.8</v>
      </c>
      <c r="L51" s="23" t="n">
        <v>4</v>
      </c>
      <c r="M51" s="19" t="n">
        <v>26</v>
      </c>
      <c r="N51" s="19" t="n">
        <v>2022</v>
      </c>
      <c r="O51" s="17" t="s">
        <v>39</v>
      </c>
      <c r="P51" s="17" t="s">
        <v>77</v>
      </c>
    </row>
    <row r="52" customFormat="false" ht="15.75" hidden="false" customHeight="true" outlineLevel="0" collapsed="false">
      <c r="A52" s="11" t="s">
        <v>133</v>
      </c>
      <c r="B52" s="12" t="s">
        <v>134</v>
      </c>
      <c r="C52" s="12" t="s">
        <v>19</v>
      </c>
      <c r="D52" s="12" t="s">
        <v>112</v>
      </c>
      <c r="E52" s="12" t="s">
        <v>21</v>
      </c>
      <c r="F52" s="12" t="s">
        <v>31</v>
      </c>
      <c r="G52" s="12" t="s">
        <v>32</v>
      </c>
      <c r="H52" s="13" t="n">
        <v>27</v>
      </c>
      <c r="I52" s="14" t="n">
        <v>2.5</v>
      </c>
      <c r="J52" s="15" t="n">
        <v>38500</v>
      </c>
      <c r="K52" s="16" t="n">
        <v>6.5</v>
      </c>
      <c r="L52" s="23" t="n">
        <v>4</v>
      </c>
      <c r="M52" s="13" t="n">
        <v>33</v>
      </c>
      <c r="N52" s="13"/>
      <c r="O52" s="11" t="s">
        <v>24</v>
      </c>
      <c r="P52" s="11" t="s">
        <v>77</v>
      </c>
    </row>
    <row r="53" customFormat="false" ht="15.75" hidden="false" customHeight="true" outlineLevel="0" collapsed="false">
      <c r="A53" s="4" t="s">
        <v>135</v>
      </c>
      <c r="B53" s="5" t="s">
        <v>136</v>
      </c>
      <c r="C53" s="5" t="s">
        <v>137</v>
      </c>
      <c r="D53" s="5" t="s">
        <v>20</v>
      </c>
      <c r="E53" s="5" t="s">
        <v>38</v>
      </c>
      <c r="F53" s="5" t="s">
        <v>22</v>
      </c>
      <c r="G53" s="5" t="s">
        <v>23</v>
      </c>
      <c r="H53" s="6" t="n">
        <v>49</v>
      </c>
      <c r="I53" s="7" t="n">
        <v>9.9</v>
      </c>
      <c r="J53" s="8" t="n">
        <v>145500</v>
      </c>
      <c r="K53" s="9" t="n">
        <v>20.4</v>
      </c>
      <c r="L53" s="10" t="n">
        <v>3</v>
      </c>
      <c r="M53" s="6" t="n">
        <v>9</v>
      </c>
      <c r="N53" s="6" t="n">
        <v>2024</v>
      </c>
      <c r="O53" s="4" t="s">
        <v>24</v>
      </c>
      <c r="P53" s="4" t="s">
        <v>25</v>
      </c>
    </row>
    <row r="54" customFormat="false" ht="15.75" hidden="false" customHeight="true" outlineLevel="0" collapsed="false">
      <c r="A54" s="11" t="s">
        <v>138</v>
      </c>
      <c r="B54" s="12" t="s">
        <v>139</v>
      </c>
      <c r="C54" s="12" t="s">
        <v>137</v>
      </c>
      <c r="D54" s="12" t="s">
        <v>20</v>
      </c>
      <c r="E54" s="12" t="s">
        <v>38</v>
      </c>
      <c r="F54" s="12" t="s">
        <v>31</v>
      </c>
      <c r="G54" s="12" t="s">
        <v>32</v>
      </c>
      <c r="H54" s="13" t="n">
        <v>48</v>
      </c>
      <c r="I54" s="14" t="n">
        <v>10</v>
      </c>
      <c r="J54" s="15" t="n">
        <v>144000</v>
      </c>
      <c r="K54" s="16" t="n">
        <v>20.1</v>
      </c>
      <c r="L54" s="23" t="n">
        <v>4</v>
      </c>
      <c r="M54" s="13" t="n">
        <v>13</v>
      </c>
      <c r="N54" s="13" t="n">
        <v>2021</v>
      </c>
      <c r="O54" s="11" t="s">
        <v>24</v>
      </c>
      <c r="P54" s="11" t="s">
        <v>25</v>
      </c>
    </row>
    <row r="55" customFormat="false" ht="15.75" hidden="false" customHeight="true" outlineLevel="0" collapsed="false">
      <c r="A55" s="4" t="s">
        <v>140</v>
      </c>
      <c r="B55" s="5" t="s">
        <v>141</v>
      </c>
      <c r="C55" s="5" t="s">
        <v>137</v>
      </c>
      <c r="D55" s="5" t="s">
        <v>35</v>
      </c>
      <c r="E55" s="5" t="s">
        <v>38</v>
      </c>
      <c r="F55" s="5" t="s">
        <v>22</v>
      </c>
      <c r="G55" s="5" t="s">
        <v>32</v>
      </c>
      <c r="H55" s="6" t="n">
        <v>42</v>
      </c>
      <c r="I55" s="7" t="n">
        <v>8.5</v>
      </c>
      <c r="J55" s="8" t="n">
        <v>99500</v>
      </c>
      <c r="K55" s="9" t="n">
        <v>17</v>
      </c>
      <c r="L55" s="10" t="n">
        <v>3</v>
      </c>
      <c r="M55" s="6" t="n">
        <v>8</v>
      </c>
      <c r="N55" s="6" t="n">
        <v>2020</v>
      </c>
      <c r="O55" s="4" t="s">
        <v>24</v>
      </c>
      <c r="P55" s="4" t="s">
        <v>135</v>
      </c>
    </row>
    <row r="56" customFormat="false" ht="15.75" hidden="false" customHeight="true" outlineLevel="0" collapsed="false">
      <c r="A56" s="11" t="s">
        <v>142</v>
      </c>
      <c r="B56" s="12" t="s">
        <v>143</v>
      </c>
      <c r="C56" s="12" t="s">
        <v>137</v>
      </c>
      <c r="D56" s="12" t="s">
        <v>35</v>
      </c>
      <c r="E56" s="12" t="s">
        <v>21</v>
      </c>
      <c r="F56" s="12" t="s">
        <v>31</v>
      </c>
      <c r="G56" s="12" t="s">
        <v>23</v>
      </c>
      <c r="H56" s="13" t="n">
        <v>43</v>
      </c>
      <c r="I56" s="14" t="n">
        <v>8</v>
      </c>
      <c r="J56" s="15" t="n">
        <v>115000</v>
      </c>
      <c r="K56" s="16" t="n">
        <v>18.7</v>
      </c>
      <c r="L56" s="23" t="n">
        <v>4</v>
      </c>
      <c r="M56" s="13" t="n">
        <v>4</v>
      </c>
      <c r="N56" s="13" t="n">
        <v>2022</v>
      </c>
      <c r="O56" s="11" t="s">
        <v>24</v>
      </c>
      <c r="P56" s="11" t="s">
        <v>135</v>
      </c>
    </row>
    <row r="57" customFormat="false" ht="15.75" hidden="false" customHeight="true" outlineLevel="0" collapsed="false">
      <c r="A57" s="4" t="s">
        <v>144</v>
      </c>
      <c r="B57" s="5" t="s">
        <v>145</v>
      </c>
      <c r="C57" s="5" t="s">
        <v>137</v>
      </c>
      <c r="D57" s="5" t="s">
        <v>35</v>
      </c>
      <c r="E57" s="5" t="s">
        <v>58</v>
      </c>
      <c r="F57" s="5" t="s">
        <v>22</v>
      </c>
      <c r="G57" s="5" t="s">
        <v>32</v>
      </c>
      <c r="H57" s="6" t="n">
        <v>41</v>
      </c>
      <c r="I57" s="7" t="n">
        <v>11.5</v>
      </c>
      <c r="J57" s="8" t="n">
        <v>94500</v>
      </c>
      <c r="K57" s="9" t="n">
        <v>16.7</v>
      </c>
      <c r="L57" s="10" t="n">
        <v>3</v>
      </c>
      <c r="M57" s="6" t="n">
        <v>19</v>
      </c>
      <c r="N57" s="6" t="n">
        <v>2023</v>
      </c>
      <c r="O57" s="4" t="s">
        <v>24</v>
      </c>
      <c r="P57" s="4" t="s">
        <v>135</v>
      </c>
    </row>
    <row r="58" customFormat="false" ht="15.75" hidden="false" customHeight="true" outlineLevel="0" collapsed="false">
      <c r="A58" s="11" t="s">
        <v>146</v>
      </c>
      <c r="B58" s="12" t="s">
        <v>147</v>
      </c>
      <c r="C58" s="12" t="s">
        <v>137</v>
      </c>
      <c r="D58" s="12" t="s">
        <v>35</v>
      </c>
      <c r="E58" s="12" t="s">
        <v>21</v>
      </c>
      <c r="F58" s="12" t="s">
        <v>46</v>
      </c>
      <c r="G58" s="12" t="s">
        <v>23</v>
      </c>
      <c r="H58" s="13" t="n">
        <v>36</v>
      </c>
      <c r="I58" s="14" t="n">
        <v>7.7</v>
      </c>
      <c r="J58" s="15" t="n">
        <v>113500</v>
      </c>
      <c r="K58" s="16" t="n">
        <v>18.4</v>
      </c>
      <c r="L58" s="23" t="n">
        <v>4</v>
      </c>
      <c r="M58" s="13" t="n">
        <v>12</v>
      </c>
      <c r="N58" s="13" t="n">
        <v>2023</v>
      </c>
      <c r="O58" s="11" t="s">
        <v>24</v>
      </c>
      <c r="P58" s="11" t="s">
        <v>135</v>
      </c>
    </row>
    <row r="59" customFormat="false" ht="15.75" hidden="false" customHeight="true" outlineLevel="0" collapsed="false">
      <c r="A59" s="4" t="s">
        <v>148</v>
      </c>
      <c r="B59" s="5" t="s">
        <v>149</v>
      </c>
      <c r="C59" s="5" t="s">
        <v>137</v>
      </c>
      <c r="D59" s="5" t="s">
        <v>35</v>
      </c>
      <c r="E59" s="5" t="s">
        <v>21</v>
      </c>
      <c r="F59" s="5" t="s">
        <v>31</v>
      </c>
      <c r="G59" s="5" t="s">
        <v>32</v>
      </c>
      <c r="H59" s="6" t="n">
        <v>48</v>
      </c>
      <c r="I59" s="7" t="n">
        <v>12.4</v>
      </c>
      <c r="J59" s="8" t="n">
        <v>94000</v>
      </c>
      <c r="K59" s="9" t="n">
        <v>12.9</v>
      </c>
      <c r="L59" s="26" t="n">
        <v>2</v>
      </c>
      <c r="M59" s="6" t="n">
        <v>14</v>
      </c>
      <c r="N59" s="6" t="n">
        <v>2021</v>
      </c>
      <c r="O59" s="4" t="s">
        <v>24</v>
      </c>
      <c r="P59" s="4" t="s">
        <v>135</v>
      </c>
    </row>
    <row r="60" customFormat="false" ht="15.75" hidden="false" customHeight="true" outlineLevel="0" collapsed="false">
      <c r="A60" s="11" t="s">
        <v>150</v>
      </c>
      <c r="B60" s="12" t="s">
        <v>151</v>
      </c>
      <c r="C60" s="12" t="s">
        <v>137</v>
      </c>
      <c r="D60" s="12" t="s">
        <v>53</v>
      </c>
      <c r="E60" s="12" t="s">
        <v>21</v>
      </c>
      <c r="F60" s="12" t="s">
        <v>22</v>
      </c>
      <c r="G60" s="12" t="s">
        <v>23</v>
      </c>
      <c r="H60" s="13" t="n">
        <v>35</v>
      </c>
      <c r="I60" s="14" t="n">
        <v>7.8</v>
      </c>
      <c r="J60" s="15" t="n">
        <v>86000</v>
      </c>
      <c r="K60" s="16" t="n">
        <v>11.6</v>
      </c>
      <c r="L60" s="10" t="n">
        <v>3</v>
      </c>
      <c r="M60" s="13" t="n">
        <v>7</v>
      </c>
      <c r="N60" s="13" t="n">
        <v>2022</v>
      </c>
      <c r="O60" s="11" t="s">
        <v>24</v>
      </c>
      <c r="P60" s="11" t="s">
        <v>140</v>
      </c>
    </row>
    <row r="61" customFormat="false" ht="15.75" hidden="false" customHeight="true" outlineLevel="0" collapsed="false">
      <c r="A61" s="4" t="s">
        <v>152</v>
      </c>
      <c r="B61" s="5" t="s">
        <v>153</v>
      </c>
      <c r="C61" s="5" t="s">
        <v>137</v>
      </c>
      <c r="D61" s="5" t="s">
        <v>53</v>
      </c>
      <c r="E61" s="5" t="s">
        <v>38</v>
      </c>
      <c r="F61" s="5" t="s">
        <v>22</v>
      </c>
      <c r="G61" s="5" t="s">
        <v>28</v>
      </c>
      <c r="H61" s="6" t="n">
        <v>34</v>
      </c>
      <c r="I61" s="7" t="n">
        <v>7.9</v>
      </c>
      <c r="J61" s="8" t="n">
        <v>88000</v>
      </c>
      <c r="K61" s="9" t="n">
        <v>12.7</v>
      </c>
      <c r="L61" s="23" t="n">
        <v>4</v>
      </c>
      <c r="M61" s="6" t="n">
        <v>17</v>
      </c>
      <c r="N61" s="6" t="n">
        <v>2023</v>
      </c>
      <c r="O61" s="4" t="s">
        <v>24</v>
      </c>
      <c r="P61" s="4" t="s">
        <v>140</v>
      </c>
    </row>
    <row r="62" customFormat="false" ht="15.75" hidden="false" customHeight="true" outlineLevel="0" collapsed="false">
      <c r="A62" s="11" t="s">
        <v>154</v>
      </c>
      <c r="B62" s="12" t="s">
        <v>155</v>
      </c>
      <c r="C62" s="12" t="s">
        <v>137</v>
      </c>
      <c r="D62" s="12" t="s">
        <v>53</v>
      </c>
      <c r="E62" s="12" t="s">
        <v>21</v>
      </c>
      <c r="F62" s="12" t="s">
        <v>46</v>
      </c>
      <c r="G62" s="12" t="s">
        <v>23</v>
      </c>
      <c r="H62" s="13" t="n">
        <v>27</v>
      </c>
      <c r="I62" s="14" t="n">
        <v>6</v>
      </c>
      <c r="J62" s="15" t="n">
        <v>79000</v>
      </c>
      <c r="K62" s="16" t="n">
        <v>11.6</v>
      </c>
      <c r="L62" s="10" t="n">
        <v>3</v>
      </c>
      <c r="M62" s="13" t="n">
        <v>8</v>
      </c>
      <c r="N62" s="13" t="n">
        <v>2023</v>
      </c>
      <c r="O62" s="11" t="s">
        <v>24</v>
      </c>
      <c r="P62" s="11" t="s">
        <v>140</v>
      </c>
    </row>
    <row r="63" customFormat="false" ht="15.75" hidden="false" customHeight="true" outlineLevel="0" collapsed="false">
      <c r="A63" s="4" t="s">
        <v>156</v>
      </c>
      <c r="B63" s="5" t="s">
        <v>157</v>
      </c>
      <c r="C63" s="5" t="s">
        <v>137</v>
      </c>
      <c r="D63" s="5" t="s">
        <v>53</v>
      </c>
      <c r="E63" s="5" t="s">
        <v>21</v>
      </c>
      <c r="F63" s="5" t="s">
        <v>22</v>
      </c>
      <c r="G63" s="5" t="s">
        <v>32</v>
      </c>
      <c r="H63" s="6" t="n">
        <v>25</v>
      </c>
      <c r="I63" s="7" t="n">
        <v>0.9</v>
      </c>
      <c r="J63" s="8" t="n">
        <v>62500</v>
      </c>
      <c r="K63" s="9" t="n">
        <v>7.3</v>
      </c>
      <c r="L63" s="26" t="n">
        <v>2</v>
      </c>
      <c r="M63" s="6" t="n">
        <v>8</v>
      </c>
      <c r="N63" s="6" t="n">
        <v>2024</v>
      </c>
      <c r="O63" s="4" t="s">
        <v>24</v>
      </c>
      <c r="P63" s="4" t="s">
        <v>140</v>
      </c>
    </row>
    <row r="64" customFormat="false" ht="15.75" hidden="false" customHeight="true" outlineLevel="0" collapsed="false">
      <c r="A64" s="11" t="s">
        <v>158</v>
      </c>
      <c r="B64" s="12" t="s">
        <v>159</v>
      </c>
      <c r="C64" s="12" t="s">
        <v>137</v>
      </c>
      <c r="D64" s="12" t="s">
        <v>53</v>
      </c>
      <c r="E64" s="12" t="s">
        <v>58</v>
      </c>
      <c r="F64" s="12" t="s">
        <v>22</v>
      </c>
      <c r="G64" s="12" t="s">
        <v>23</v>
      </c>
      <c r="H64" s="13" t="n">
        <v>36</v>
      </c>
      <c r="I64" s="14" t="n">
        <v>2.8</v>
      </c>
      <c r="J64" s="15" t="n">
        <v>77500</v>
      </c>
      <c r="K64" s="16" t="n">
        <v>10.3</v>
      </c>
      <c r="L64" s="10" t="n">
        <v>3</v>
      </c>
      <c r="M64" s="13" t="n">
        <v>18</v>
      </c>
      <c r="N64" s="13" t="n">
        <v>2023</v>
      </c>
      <c r="O64" s="11" t="s">
        <v>24</v>
      </c>
      <c r="P64" s="11" t="s">
        <v>140</v>
      </c>
    </row>
    <row r="65" customFormat="false" ht="15.75" hidden="false" customHeight="true" outlineLevel="0" collapsed="false">
      <c r="A65" s="17" t="s">
        <v>160</v>
      </c>
      <c r="B65" s="18" t="s">
        <v>161</v>
      </c>
      <c r="C65" s="18" t="s">
        <v>137</v>
      </c>
      <c r="D65" s="18" t="s">
        <v>53</v>
      </c>
      <c r="E65" s="18" t="s">
        <v>38</v>
      </c>
      <c r="F65" s="18" t="s">
        <v>22</v>
      </c>
      <c r="G65" s="18" t="s">
        <v>23</v>
      </c>
      <c r="H65" s="19" t="n">
        <v>32</v>
      </c>
      <c r="I65" s="20" t="n">
        <v>6.6</v>
      </c>
      <c r="J65" s="21" t="n">
        <v>82500</v>
      </c>
      <c r="K65" s="22" t="n">
        <v>12.4</v>
      </c>
      <c r="L65" s="10" t="n">
        <v>3</v>
      </c>
      <c r="M65" s="19" t="n">
        <v>13</v>
      </c>
      <c r="N65" s="19" t="n">
        <v>2022</v>
      </c>
      <c r="O65" s="17" t="s">
        <v>39</v>
      </c>
      <c r="P65" s="17" t="s">
        <v>140</v>
      </c>
    </row>
    <row r="66" customFormat="false" ht="15.75" hidden="false" customHeight="true" outlineLevel="0" collapsed="false">
      <c r="A66" s="11" t="s">
        <v>162</v>
      </c>
      <c r="B66" s="12" t="s">
        <v>163</v>
      </c>
      <c r="C66" s="12" t="s">
        <v>137</v>
      </c>
      <c r="D66" s="12" t="s">
        <v>53</v>
      </c>
      <c r="E66" s="12" t="s">
        <v>58</v>
      </c>
      <c r="F66" s="12" t="s">
        <v>31</v>
      </c>
      <c r="G66" s="12" t="s">
        <v>23</v>
      </c>
      <c r="H66" s="13" t="n">
        <v>31</v>
      </c>
      <c r="I66" s="14" t="n">
        <v>6.1</v>
      </c>
      <c r="J66" s="15" t="n">
        <v>94000</v>
      </c>
      <c r="K66" s="16" t="n">
        <v>12.9</v>
      </c>
      <c r="L66" s="23" t="n">
        <v>4</v>
      </c>
      <c r="M66" s="13" t="n">
        <v>21</v>
      </c>
      <c r="N66" s="13" t="n">
        <v>2024</v>
      </c>
      <c r="O66" s="11" t="s">
        <v>24</v>
      </c>
      <c r="P66" s="11" t="s">
        <v>140</v>
      </c>
    </row>
    <row r="67" customFormat="false" ht="15.75" hidden="false" customHeight="true" outlineLevel="0" collapsed="false">
      <c r="A67" s="4" t="s">
        <v>164</v>
      </c>
      <c r="B67" s="5" t="s">
        <v>165</v>
      </c>
      <c r="C67" s="5" t="s">
        <v>137</v>
      </c>
      <c r="D67" s="5" t="s">
        <v>53</v>
      </c>
      <c r="E67" s="5" t="s">
        <v>21</v>
      </c>
      <c r="F67" s="5" t="s">
        <v>22</v>
      </c>
      <c r="G67" s="5" t="s">
        <v>32</v>
      </c>
      <c r="H67" s="6" t="n">
        <v>33</v>
      </c>
      <c r="I67" s="7" t="n">
        <v>7.9</v>
      </c>
      <c r="J67" s="8" t="n">
        <v>86500</v>
      </c>
      <c r="K67" s="9" t="n">
        <v>16.1</v>
      </c>
      <c r="L67" s="24" t="n">
        <v>5</v>
      </c>
      <c r="M67" s="6" t="n">
        <v>26</v>
      </c>
      <c r="N67" s="6" t="n">
        <v>2023</v>
      </c>
      <c r="O67" s="4" t="s">
        <v>24</v>
      </c>
      <c r="P67" s="4" t="s">
        <v>140</v>
      </c>
    </row>
    <row r="68" customFormat="false" ht="15.75" hidden="false" customHeight="true" outlineLevel="0" collapsed="false">
      <c r="A68" s="17" t="s">
        <v>166</v>
      </c>
      <c r="B68" s="18" t="s">
        <v>167</v>
      </c>
      <c r="C68" s="18" t="s">
        <v>137</v>
      </c>
      <c r="D68" s="18" t="s">
        <v>53</v>
      </c>
      <c r="E68" s="18" t="s">
        <v>21</v>
      </c>
      <c r="F68" s="18" t="s">
        <v>46</v>
      </c>
      <c r="G68" s="18" t="s">
        <v>23</v>
      </c>
      <c r="H68" s="19" t="n">
        <v>33</v>
      </c>
      <c r="I68" s="20" t="n">
        <v>5.7</v>
      </c>
      <c r="J68" s="21" t="n">
        <v>83500</v>
      </c>
      <c r="K68" s="22" t="n">
        <v>12.5</v>
      </c>
      <c r="L68" s="10" t="n">
        <v>3</v>
      </c>
      <c r="M68" s="19" t="n">
        <v>31</v>
      </c>
      <c r="N68" s="19" t="n">
        <v>2021</v>
      </c>
      <c r="O68" s="17" t="s">
        <v>39</v>
      </c>
      <c r="P68" s="17" t="s">
        <v>140</v>
      </c>
    </row>
    <row r="69" customFormat="false" ht="15.75" hidden="false" customHeight="true" outlineLevel="0" collapsed="false">
      <c r="A69" s="4" t="s">
        <v>168</v>
      </c>
      <c r="B69" s="5" t="s">
        <v>169</v>
      </c>
      <c r="C69" s="5" t="s">
        <v>137</v>
      </c>
      <c r="D69" s="5" t="s">
        <v>53</v>
      </c>
      <c r="E69" s="5" t="s">
        <v>58</v>
      </c>
      <c r="F69" s="5" t="s">
        <v>22</v>
      </c>
      <c r="G69" s="5" t="s">
        <v>23</v>
      </c>
      <c r="H69" s="6" t="n">
        <v>34</v>
      </c>
      <c r="I69" s="7" t="n">
        <v>5.1</v>
      </c>
      <c r="J69" s="8" t="n">
        <v>77500</v>
      </c>
      <c r="K69" s="9" t="n">
        <v>12.5</v>
      </c>
      <c r="L69" s="10" t="n">
        <v>3</v>
      </c>
      <c r="M69" s="6" t="n">
        <v>11</v>
      </c>
      <c r="N69" s="6" t="n">
        <v>2024</v>
      </c>
      <c r="O69" s="4" t="s">
        <v>24</v>
      </c>
      <c r="P69" s="4" t="s">
        <v>140</v>
      </c>
    </row>
    <row r="70" customFormat="false" ht="15.75" hidden="false" customHeight="true" outlineLevel="0" collapsed="false">
      <c r="A70" s="11" t="s">
        <v>170</v>
      </c>
      <c r="B70" s="12" t="s">
        <v>171</v>
      </c>
      <c r="C70" s="12" t="s">
        <v>137</v>
      </c>
      <c r="D70" s="12" t="s">
        <v>79</v>
      </c>
      <c r="E70" s="12" t="s">
        <v>38</v>
      </c>
      <c r="F70" s="12" t="s">
        <v>22</v>
      </c>
      <c r="G70" s="12" t="s">
        <v>23</v>
      </c>
      <c r="H70" s="13" t="n">
        <v>26</v>
      </c>
      <c r="I70" s="14" t="n">
        <v>2.7</v>
      </c>
      <c r="J70" s="15" t="n">
        <v>58500</v>
      </c>
      <c r="K70" s="16" t="n">
        <v>10.6</v>
      </c>
      <c r="L70" s="23" t="n">
        <v>4</v>
      </c>
      <c r="M70" s="13" t="n">
        <v>12</v>
      </c>
      <c r="N70" s="13" t="n">
        <v>2024</v>
      </c>
      <c r="O70" s="11" t="s">
        <v>24</v>
      </c>
      <c r="P70" s="11" t="s">
        <v>150</v>
      </c>
    </row>
    <row r="71" customFormat="false" ht="15.75" hidden="false" customHeight="true" outlineLevel="0" collapsed="false">
      <c r="A71" s="17" t="s">
        <v>172</v>
      </c>
      <c r="B71" s="18" t="s">
        <v>173</v>
      </c>
      <c r="C71" s="18" t="s">
        <v>137</v>
      </c>
      <c r="D71" s="18" t="s">
        <v>79</v>
      </c>
      <c r="E71" s="18" t="s">
        <v>58</v>
      </c>
      <c r="F71" s="18" t="s">
        <v>46</v>
      </c>
      <c r="G71" s="18" t="s">
        <v>32</v>
      </c>
      <c r="H71" s="19" t="n">
        <v>31</v>
      </c>
      <c r="I71" s="20" t="n">
        <v>3.6</v>
      </c>
      <c r="J71" s="21" t="n">
        <v>58000</v>
      </c>
      <c r="K71" s="22" t="n">
        <v>9.9</v>
      </c>
      <c r="L71" s="24" t="n">
        <v>5</v>
      </c>
      <c r="M71" s="19" t="n">
        <v>21</v>
      </c>
      <c r="N71" s="19" t="n">
        <v>2023</v>
      </c>
      <c r="O71" s="17" t="s">
        <v>39</v>
      </c>
      <c r="P71" s="17" t="s">
        <v>150</v>
      </c>
    </row>
    <row r="72" customFormat="false" ht="15.75" hidden="false" customHeight="true" outlineLevel="0" collapsed="false">
      <c r="A72" s="17" t="s">
        <v>174</v>
      </c>
      <c r="B72" s="18" t="s">
        <v>175</v>
      </c>
      <c r="C72" s="18" t="s">
        <v>137</v>
      </c>
      <c r="D72" s="18" t="s">
        <v>79</v>
      </c>
      <c r="E72" s="18" t="s">
        <v>58</v>
      </c>
      <c r="F72" s="18" t="s">
        <v>46</v>
      </c>
      <c r="G72" s="18" t="s">
        <v>23</v>
      </c>
      <c r="H72" s="19" t="n">
        <v>32</v>
      </c>
      <c r="I72" s="20" t="n">
        <v>3.9</v>
      </c>
      <c r="J72" s="21" t="n">
        <v>64000</v>
      </c>
      <c r="K72" s="22" t="n">
        <v>11.4</v>
      </c>
      <c r="L72" s="24" t="n">
        <v>5</v>
      </c>
      <c r="M72" s="19" t="n">
        <v>29</v>
      </c>
      <c r="N72" s="19" t="n">
        <v>2023</v>
      </c>
      <c r="O72" s="17" t="s">
        <v>39</v>
      </c>
      <c r="P72" s="17" t="s">
        <v>150</v>
      </c>
    </row>
    <row r="73" customFormat="false" ht="15.75" hidden="false" customHeight="true" outlineLevel="0" collapsed="false">
      <c r="A73" s="4" t="s">
        <v>176</v>
      </c>
      <c r="B73" s="5" t="s">
        <v>177</v>
      </c>
      <c r="C73" s="5" t="s">
        <v>137</v>
      </c>
      <c r="D73" s="5" t="s">
        <v>79</v>
      </c>
      <c r="E73" s="5" t="s">
        <v>38</v>
      </c>
      <c r="F73" s="5" t="s">
        <v>31</v>
      </c>
      <c r="G73" s="5" t="s">
        <v>23</v>
      </c>
      <c r="H73" s="6" t="n">
        <v>29</v>
      </c>
      <c r="I73" s="7" t="n">
        <v>3</v>
      </c>
      <c r="J73" s="8" t="n">
        <v>63500</v>
      </c>
      <c r="K73" s="9" t="n">
        <v>8.8</v>
      </c>
      <c r="L73" s="24" t="n">
        <v>5</v>
      </c>
      <c r="M73" s="6" t="n">
        <v>35</v>
      </c>
      <c r="N73" s="6" t="n">
        <v>2023</v>
      </c>
      <c r="O73" s="4" t="s">
        <v>24</v>
      </c>
      <c r="P73" s="4" t="s">
        <v>150</v>
      </c>
    </row>
    <row r="74" customFormat="false" ht="15.75" hidden="false" customHeight="true" outlineLevel="0" collapsed="false">
      <c r="A74" s="11" t="s">
        <v>178</v>
      </c>
      <c r="B74" s="12" t="s">
        <v>179</v>
      </c>
      <c r="C74" s="12" t="s">
        <v>137</v>
      </c>
      <c r="D74" s="12" t="s">
        <v>79</v>
      </c>
      <c r="E74" s="12" t="s">
        <v>21</v>
      </c>
      <c r="F74" s="12" t="s">
        <v>22</v>
      </c>
      <c r="G74" s="12" t="s">
        <v>32</v>
      </c>
      <c r="H74" s="13" t="n">
        <v>26</v>
      </c>
      <c r="I74" s="14" t="n">
        <v>2.7</v>
      </c>
      <c r="J74" s="15" t="n">
        <v>49000</v>
      </c>
      <c r="K74" s="16" t="n">
        <v>6</v>
      </c>
      <c r="L74" s="10" t="n">
        <v>3</v>
      </c>
      <c r="M74" s="13" t="n">
        <v>30</v>
      </c>
      <c r="N74" s="13" t="n">
        <v>2024</v>
      </c>
      <c r="O74" s="11" t="s">
        <v>24</v>
      </c>
      <c r="P74" s="11" t="s">
        <v>150</v>
      </c>
    </row>
    <row r="75" customFormat="false" ht="15.75" hidden="false" customHeight="true" outlineLevel="0" collapsed="false">
      <c r="A75" s="4" t="s">
        <v>180</v>
      </c>
      <c r="B75" s="5" t="s">
        <v>181</v>
      </c>
      <c r="C75" s="5" t="s">
        <v>137</v>
      </c>
      <c r="D75" s="5" t="s">
        <v>79</v>
      </c>
      <c r="E75" s="5" t="s">
        <v>58</v>
      </c>
      <c r="F75" s="5" t="s">
        <v>46</v>
      </c>
      <c r="G75" s="5" t="s">
        <v>23</v>
      </c>
      <c r="H75" s="6" t="n">
        <v>30</v>
      </c>
      <c r="I75" s="7" t="n">
        <v>3.4</v>
      </c>
      <c r="J75" s="8" t="n">
        <v>45000</v>
      </c>
      <c r="K75" s="9" t="n">
        <v>3.7</v>
      </c>
      <c r="L75" s="25" t="n">
        <v>1</v>
      </c>
      <c r="M75" s="6" t="n">
        <v>13</v>
      </c>
      <c r="N75" s="6" t="n">
        <v>2023</v>
      </c>
      <c r="O75" s="4" t="s">
        <v>24</v>
      </c>
      <c r="P75" s="4" t="s">
        <v>150</v>
      </c>
    </row>
    <row r="76" customFormat="false" ht="15.75" hidden="false" customHeight="true" outlineLevel="0" collapsed="false">
      <c r="A76" s="11" t="s">
        <v>182</v>
      </c>
      <c r="B76" s="12" t="s">
        <v>183</v>
      </c>
      <c r="C76" s="12" t="s">
        <v>137</v>
      </c>
      <c r="D76" s="12" t="s">
        <v>79</v>
      </c>
      <c r="E76" s="12" t="s">
        <v>21</v>
      </c>
      <c r="F76" s="12" t="s">
        <v>22</v>
      </c>
      <c r="G76" s="12" t="s">
        <v>23</v>
      </c>
      <c r="H76" s="13" t="n">
        <v>26</v>
      </c>
      <c r="I76" s="14" t="n">
        <v>3.2</v>
      </c>
      <c r="J76" s="15" t="n">
        <v>55000</v>
      </c>
      <c r="K76" s="16" t="n">
        <v>8.7</v>
      </c>
      <c r="L76" s="10" t="n">
        <v>3</v>
      </c>
      <c r="M76" s="13" t="n">
        <v>20</v>
      </c>
      <c r="N76" s="13" t="n">
        <v>2023</v>
      </c>
      <c r="O76" s="11" t="s">
        <v>24</v>
      </c>
      <c r="P76" s="11" t="s">
        <v>150</v>
      </c>
    </row>
    <row r="77" customFormat="false" ht="15.75" hidden="false" customHeight="true" outlineLevel="0" collapsed="false">
      <c r="A77" s="4" t="s">
        <v>184</v>
      </c>
      <c r="B77" s="5" t="s">
        <v>185</v>
      </c>
      <c r="C77" s="5" t="s">
        <v>137</v>
      </c>
      <c r="D77" s="5" t="s">
        <v>79</v>
      </c>
      <c r="E77" s="5" t="s">
        <v>21</v>
      </c>
      <c r="F77" s="5" t="s">
        <v>46</v>
      </c>
      <c r="G77" s="5" t="s">
        <v>32</v>
      </c>
      <c r="H77" s="6" t="n">
        <v>27</v>
      </c>
      <c r="I77" s="7" t="n">
        <v>2.2</v>
      </c>
      <c r="J77" s="8" t="n">
        <v>49000</v>
      </c>
      <c r="K77" s="9" t="n">
        <v>7.6</v>
      </c>
      <c r="L77" s="10" t="n">
        <v>3</v>
      </c>
      <c r="M77" s="6" t="n">
        <v>26</v>
      </c>
      <c r="N77" s="6" t="n">
        <v>2024</v>
      </c>
      <c r="O77" s="4" t="s">
        <v>24</v>
      </c>
      <c r="P77" s="4" t="s">
        <v>150</v>
      </c>
    </row>
    <row r="78" customFormat="false" ht="15.75" hidden="false" customHeight="true" outlineLevel="0" collapsed="false">
      <c r="A78" s="11" t="s">
        <v>186</v>
      </c>
      <c r="B78" s="12" t="s">
        <v>187</v>
      </c>
      <c r="C78" s="12" t="s">
        <v>137</v>
      </c>
      <c r="D78" s="12" t="s">
        <v>79</v>
      </c>
      <c r="E78" s="12" t="s">
        <v>21</v>
      </c>
      <c r="F78" s="12" t="s">
        <v>46</v>
      </c>
      <c r="G78" s="12" t="s">
        <v>28</v>
      </c>
      <c r="H78" s="13" t="n">
        <v>23</v>
      </c>
      <c r="I78" s="14" t="n">
        <v>1.2</v>
      </c>
      <c r="J78" s="15" t="n">
        <v>49000</v>
      </c>
      <c r="K78" s="16" t="n">
        <v>8.1</v>
      </c>
      <c r="L78" s="10" t="n">
        <v>3</v>
      </c>
      <c r="M78" s="13" t="n">
        <v>21</v>
      </c>
      <c r="N78" s="13" t="n">
        <v>2024</v>
      </c>
      <c r="O78" s="11" t="s">
        <v>24</v>
      </c>
      <c r="P78" s="11" t="s">
        <v>150</v>
      </c>
    </row>
    <row r="79" customFormat="false" ht="15.75" hidden="false" customHeight="true" outlineLevel="0" collapsed="false">
      <c r="A79" s="4" t="s">
        <v>188</v>
      </c>
      <c r="B79" s="5" t="s">
        <v>189</v>
      </c>
      <c r="C79" s="5" t="s">
        <v>137</v>
      </c>
      <c r="D79" s="5" t="s">
        <v>79</v>
      </c>
      <c r="E79" s="5" t="s">
        <v>58</v>
      </c>
      <c r="F79" s="5" t="s">
        <v>46</v>
      </c>
      <c r="G79" s="5" t="s">
        <v>23</v>
      </c>
      <c r="H79" s="6" t="n">
        <v>25</v>
      </c>
      <c r="I79" s="7" t="n">
        <v>4.7</v>
      </c>
      <c r="J79" s="8" t="n">
        <v>55500</v>
      </c>
      <c r="K79" s="9" t="n">
        <v>7</v>
      </c>
      <c r="L79" s="10" t="n">
        <v>3</v>
      </c>
      <c r="M79" s="6" t="n">
        <v>18</v>
      </c>
      <c r="N79" s="6" t="n">
        <v>2024</v>
      </c>
      <c r="O79" s="4" t="s">
        <v>24</v>
      </c>
      <c r="P79" s="4" t="s">
        <v>150</v>
      </c>
    </row>
    <row r="80" customFormat="false" ht="15.75" hidden="false" customHeight="true" outlineLevel="0" collapsed="false">
      <c r="A80" s="11" t="s">
        <v>190</v>
      </c>
      <c r="B80" s="12" t="s">
        <v>191</v>
      </c>
      <c r="C80" s="12" t="s">
        <v>137</v>
      </c>
      <c r="D80" s="12" t="s">
        <v>79</v>
      </c>
      <c r="E80" s="12" t="s">
        <v>58</v>
      </c>
      <c r="F80" s="12" t="s">
        <v>22</v>
      </c>
      <c r="G80" s="12" t="s">
        <v>32</v>
      </c>
      <c r="H80" s="13" t="n">
        <v>30</v>
      </c>
      <c r="I80" s="14" t="n">
        <v>3</v>
      </c>
      <c r="J80" s="15" t="n">
        <v>46000</v>
      </c>
      <c r="K80" s="16" t="n">
        <v>4.1</v>
      </c>
      <c r="L80" s="26" t="n">
        <v>2</v>
      </c>
      <c r="M80" s="13" t="n">
        <v>21</v>
      </c>
      <c r="N80" s="13" t="n">
        <v>2022</v>
      </c>
      <c r="O80" s="11" t="s">
        <v>24</v>
      </c>
      <c r="P80" s="11" t="s">
        <v>150</v>
      </c>
    </row>
    <row r="81" customFormat="false" ht="15.75" hidden="false" customHeight="true" outlineLevel="0" collapsed="false">
      <c r="A81" s="4" t="s">
        <v>192</v>
      </c>
      <c r="B81" s="5" t="s">
        <v>193</v>
      </c>
      <c r="C81" s="5" t="s">
        <v>137</v>
      </c>
      <c r="D81" s="5" t="s">
        <v>79</v>
      </c>
      <c r="E81" s="5" t="s">
        <v>21</v>
      </c>
      <c r="F81" s="5" t="s">
        <v>22</v>
      </c>
      <c r="G81" s="5" t="s">
        <v>23</v>
      </c>
      <c r="H81" s="6" t="n">
        <v>27</v>
      </c>
      <c r="I81" s="7" t="n">
        <v>2.9</v>
      </c>
      <c r="J81" s="8" t="n">
        <v>56000</v>
      </c>
      <c r="K81" s="9" t="n">
        <v>9</v>
      </c>
      <c r="L81" s="10" t="n">
        <v>3</v>
      </c>
      <c r="M81" s="6" t="n">
        <v>23</v>
      </c>
      <c r="N81" s="6" t="n">
        <v>2024</v>
      </c>
      <c r="O81" s="4" t="s">
        <v>24</v>
      </c>
      <c r="P81" s="4" t="s">
        <v>150</v>
      </c>
    </row>
    <row r="82" customFormat="false" ht="15.75" hidden="false" customHeight="true" outlineLevel="0" collapsed="false">
      <c r="A82" s="11" t="s">
        <v>194</v>
      </c>
      <c r="B82" s="12" t="s">
        <v>195</v>
      </c>
      <c r="C82" s="12" t="s">
        <v>137</v>
      </c>
      <c r="D82" s="12" t="s">
        <v>79</v>
      </c>
      <c r="E82" s="12" t="s">
        <v>21</v>
      </c>
      <c r="F82" s="12" t="s">
        <v>46</v>
      </c>
      <c r="G82" s="12" t="s">
        <v>32</v>
      </c>
      <c r="H82" s="13" t="n">
        <v>32</v>
      </c>
      <c r="I82" s="14" t="n">
        <v>2.1</v>
      </c>
      <c r="J82" s="15" t="n">
        <v>48000</v>
      </c>
      <c r="K82" s="16" t="n">
        <v>6.2</v>
      </c>
      <c r="L82" s="10" t="n">
        <v>3</v>
      </c>
      <c r="M82" s="13" t="n">
        <v>28</v>
      </c>
      <c r="N82" s="13" t="n">
        <v>2024</v>
      </c>
      <c r="O82" s="11" t="s">
        <v>24</v>
      </c>
      <c r="P82" s="11" t="s">
        <v>150</v>
      </c>
    </row>
    <row r="83" customFormat="false" ht="15.75" hidden="false" customHeight="true" outlineLevel="0" collapsed="false">
      <c r="A83" s="4" t="s">
        <v>196</v>
      </c>
      <c r="B83" s="5" t="s">
        <v>197</v>
      </c>
      <c r="C83" s="5" t="s">
        <v>137</v>
      </c>
      <c r="D83" s="5" t="s">
        <v>112</v>
      </c>
      <c r="E83" s="5" t="s">
        <v>21</v>
      </c>
      <c r="F83" s="5" t="s">
        <v>46</v>
      </c>
      <c r="G83" s="5" t="s">
        <v>23</v>
      </c>
      <c r="H83" s="6" t="n">
        <v>24</v>
      </c>
      <c r="I83" s="7" t="n">
        <v>1.9</v>
      </c>
      <c r="J83" s="8" t="n">
        <v>31500</v>
      </c>
      <c r="K83" s="9" t="n">
        <v>3.2</v>
      </c>
      <c r="L83" s="25" t="n">
        <v>1</v>
      </c>
      <c r="M83" s="6" t="n">
        <v>28</v>
      </c>
      <c r="N83" s="6"/>
      <c r="O83" s="4" t="s">
        <v>24</v>
      </c>
      <c r="P83" s="4" t="s">
        <v>170</v>
      </c>
    </row>
    <row r="84" customFormat="false" ht="15.75" hidden="false" customHeight="true" outlineLevel="0" collapsed="false">
      <c r="A84" s="11" t="s">
        <v>198</v>
      </c>
      <c r="B84" s="12" t="s">
        <v>199</v>
      </c>
      <c r="C84" s="12" t="s">
        <v>137</v>
      </c>
      <c r="D84" s="12" t="s">
        <v>112</v>
      </c>
      <c r="E84" s="12" t="s">
        <v>21</v>
      </c>
      <c r="F84" s="12" t="s">
        <v>31</v>
      </c>
      <c r="G84" s="12" t="s">
        <v>23</v>
      </c>
      <c r="H84" s="13" t="n">
        <v>23</v>
      </c>
      <c r="I84" s="14" t="n">
        <v>0.3</v>
      </c>
      <c r="J84" s="15" t="n">
        <v>33500</v>
      </c>
      <c r="K84" s="16" t="n">
        <v>4.5</v>
      </c>
      <c r="L84" s="10" t="n">
        <v>3</v>
      </c>
      <c r="M84" s="13" t="n">
        <v>30</v>
      </c>
      <c r="N84" s="13"/>
      <c r="O84" s="11" t="s">
        <v>24</v>
      </c>
      <c r="P84" s="11" t="s">
        <v>170</v>
      </c>
    </row>
    <row r="85" customFormat="false" ht="15.75" hidden="false" customHeight="true" outlineLevel="0" collapsed="false">
      <c r="A85" s="4" t="s">
        <v>200</v>
      </c>
      <c r="B85" s="5" t="s">
        <v>201</v>
      </c>
      <c r="C85" s="5" t="s">
        <v>137</v>
      </c>
      <c r="D85" s="5" t="s">
        <v>112</v>
      </c>
      <c r="E85" s="5" t="s">
        <v>58</v>
      </c>
      <c r="F85" s="5" t="s">
        <v>22</v>
      </c>
      <c r="G85" s="5" t="s">
        <v>32</v>
      </c>
      <c r="H85" s="6" t="n">
        <v>27</v>
      </c>
      <c r="I85" s="7" t="n">
        <v>1.2</v>
      </c>
      <c r="J85" s="8" t="n">
        <v>33500</v>
      </c>
      <c r="K85" s="9" t="n">
        <v>4.3</v>
      </c>
      <c r="L85" s="10" t="n">
        <v>3</v>
      </c>
      <c r="M85" s="6" t="n">
        <v>22</v>
      </c>
      <c r="N85" s="6"/>
      <c r="O85" s="4" t="s">
        <v>24</v>
      </c>
      <c r="P85" s="4" t="s">
        <v>170</v>
      </c>
    </row>
    <row r="86" customFormat="false" ht="15.75" hidden="false" customHeight="true" outlineLevel="0" collapsed="false">
      <c r="A86" s="11" t="s">
        <v>202</v>
      </c>
      <c r="B86" s="12" t="s">
        <v>203</v>
      </c>
      <c r="C86" s="12" t="s">
        <v>137</v>
      </c>
      <c r="D86" s="12" t="s">
        <v>112</v>
      </c>
      <c r="E86" s="12" t="s">
        <v>58</v>
      </c>
      <c r="F86" s="12" t="s">
        <v>22</v>
      </c>
      <c r="G86" s="12" t="s">
        <v>23</v>
      </c>
      <c r="H86" s="13" t="n">
        <v>24</v>
      </c>
      <c r="I86" s="14" t="n">
        <v>0.3</v>
      </c>
      <c r="J86" s="15" t="n">
        <v>39000</v>
      </c>
      <c r="K86" s="16" t="n">
        <v>6.9</v>
      </c>
      <c r="L86" s="23" t="n">
        <v>4</v>
      </c>
      <c r="M86" s="13" t="n">
        <v>43</v>
      </c>
      <c r="N86" s="13"/>
      <c r="O86" s="11" t="s">
        <v>24</v>
      </c>
      <c r="P86" s="11" t="s">
        <v>170</v>
      </c>
    </row>
    <row r="87" customFormat="false" ht="15.75" hidden="false" customHeight="true" outlineLevel="0" collapsed="false">
      <c r="A87" s="17" t="s">
        <v>204</v>
      </c>
      <c r="B87" s="18" t="s">
        <v>205</v>
      </c>
      <c r="C87" s="18" t="s">
        <v>137</v>
      </c>
      <c r="D87" s="18" t="s">
        <v>112</v>
      </c>
      <c r="E87" s="18" t="s">
        <v>21</v>
      </c>
      <c r="F87" s="18" t="s">
        <v>22</v>
      </c>
      <c r="G87" s="18" t="s">
        <v>23</v>
      </c>
      <c r="H87" s="19" t="n">
        <v>23</v>
      </c>
      <c r="I87" s="20" t="n">
        <v>1.6</v>
      </c>
      <c r="J87" s="21" t="n">
        <v>37000</v>
      </c>
      <c r="K87" s="22" t="n">
        <v>3.7</v>
      </c>
      <c r="L87" s="10" t="n">
        <v>3</v>
      </c>
      <c r="M87" s="19" t="n">
        <v>28</v>
      </c>
      <c r="N87" s="19"/>
      <c r="O87" s="17" t="s">
        <v>39</v>
      </c>
      <c r="P87" s="17" t="s">
        <v>170</v>
      </c>
    </row>
    <row r="88" customFormat="false" ht="15.75" hidden="false" customHeight="true" outlineLevel="0" collapsed="false">
      <c r="A88" s="11" t="s">
        <v>206</v>
      </c>
      <c r="B88" s="12" t="s">
        <v>207</v>
      </c>
      <c r="C88" s="12" t="s">
        <v>137</v>
      </c>
      <c r="D88" s="12" t="s">
        <v>112</v>
      </c>
      <c r="E88" s="12" t="s">
        <v>21</v>
      </c>
      <c r="F88" s="12" t="s">
        <v>31</v>
      </c>
      <c r="G88" s="12" t="s">
        <v>23</v>
      </c>
      <c r="H88" s="13" t="n">
        <v>25</v>
      </c>
      <c r="I88" s="14" t="n">
        <v>1.5</v>
      </c>
      <c r="J88" s="15" t="n">
        <v>37500</v>
      </c>
      <c r="K88" s="16" t="n">
        <v>5.4</v>
      </c>
      <c r="L88" s="10" t="n">
        <v>3</v>
      </c>
      <c r="M88" s="13" t="n">
        <v>26</v>
      </c>
      <c r="N88" s="13"/>
      <c r="O88" s="11" t="s">
        <v>24</v>
      </c>
      <c r="P88" s="11" t="s">
        <v>170</v>
      </c>
    </row>
    <row r="89" customFormat="false" ht="15.75" hidden="false" customHeight="true" outlineLevel="0" collapsed="false">
      <c r="A89" s="4" t="s">
        <v>208</v>
      </c>
      <c r="B89" s="5" t="s">
        <v>209</v>
      </c>
      <c r="C89" s="5" t="s">
        <v>137</v>
      </c>
      <c r="D89" s="5" t="s">
        <v>112</v>
      </c>
      <c r="E89" s="5" t="s">
        <v>58</v>
      </c>
      <c r="F89" s="5" t="s">
        <v>46</v>
      </c>
      <c r="G89" s="5" t="s">
        <v>23</v>
      </c>
      <c r="H89" s="6" t="n">
        <v>22</v>
      </c>
      <c r="I89" s="7" t="n">
        <v>0.6</v>
      </c>
      <c r="J89" s="8" t="n">
        <v>36000</v>
      </c>
      <c r="K89" s="9" t="n">
        <v>3.5</v>
      </c>
      <c r="L89" s="10" t="n">
        <v>3</v>
      </c>
      <c r="M89" s="6" t="n">
        <v>18</v>
      </c>
      <c r="N89" s="6"/>
      <c r="O89" s="4" t="s">
        <v>24</v>
      </c>
      <c r="P89" s="4" t="s">
        <v>170</v>
      </c>
    </row>
    <row r="90" customFormat="false" ht="15.75" hidden="false" customHeight="true" outlineLevel="0" collapsed="false">
      <c r="A90" s="11" t="s">
        <v>210</v>
      </c>
      <c r="B90" s="12" t="s">
        <v>211</v>
      </c>
      <c r="C90" s="12" t="s">
        <v>137</v>
      </c>
      <c r="D90" s="12" t="s">
        <v>112</v>
      </c>
      <c r="E90" s="12" t="s">
        <v>58</v>
      </c>
      <c r="F90" s="12" t="s">
        <v>46</v>
      </c>
      <c r="G90" s="12" t="s">
        <v>23</v>
      </c>
      <c r="H90" s="13" t="n">
        <v>26</v>
      </c>
      <c r="I90" s="14" t="n">
        <v>1.5</v>
      </c>
      <c r="J90" s="15" t="n">
        <v>39000</v>
      </c>
      <c r="K90" s="16" t="n">
        <v>5.3</v>
      </c>
      <c r="L90" s="23" t="n">
        <v>4</v>
      </c>
      <c r="M90" s="13" t="n">
        <v>41</v>
      </c>
      <c r="N90" s="13"/>
      <c r="O90" s="11" t="s">
        <v>24</v>
      </c>
      <c r="P90" s="11" t="s">
        <v>170</v>
      </c>
    </row>
    <row r="91" customFormat="false" ht="15.75" hidden="false" customHeight="true" outlineLevel="0" collapsed="false">
      <c r="A91" s="4" t="s">
        <v>212</v>
      </c>
      <c r="B91" s="5" t="s">
        <v>213</v>
      </c>
      <c r="C91" s="5" t="s">
        <v>137</v>
      </c>
      <c r="D91" s="5" t="s">
        <v>112</v>
      </c>
      <c r="E91" s="5" t="s">
        <v>38</v>
      </c>
      <c r="F91" s="5" t="s">
        <v>31</v>
      </c>
      <c r="G91" s="5" t="s">
        <v>32</v>
      </c>
      <c r="H91" s="6" t="n">
        <v>29</v>
      </c>
      <c r="I91" s="7" t="n">
        <v>1.4</v>
      </c>
      <c r="J91" s="8" t="n">
        <v>33500</v>
      </c>
      <c r="K91" s="9" t="n">
        <v>5.1</v>
      </c>
      <c r="L91" s="10" t="n">
        <v>3</v>
      </c>
      <c r="M91" s="6" t="n">
        <v>32</v>
      </c>
      <c r="N91" s="6"/>
      <c r="O91" s="4" t="s">
        <v>24</v>
      </c>
      <c r="P91" s="4" t="s">
        <v>170</v>
      </c>
    </row>
    <row r="92" customFormat="false" ht="15.75" hidden="false" customHeight="true" outlineLevel="0" collapsed="false">
      <c r="A92" s="17" t="s">
        <v>214</v>
      </c>
      <c r="B92" s="18" t="s">
        <v>215</v>
      </c>
      <c r="C92" s="18" t="s">
        <v>137</v>
      </c>
      <c r="D92" s="18" t="s">
        <v>112</v>
      </c>
      <c r="E92" s="18" t="s">
        <v>38</v>
      </c>
      <c r="F92" s="18" t="s">
        <v>22</v>
      </c>
      <c r="G92" s="18" t="s">
        <v>23</v>
      </c>
      <c r="H92" s="19" t="n">
        <v>26</v>
      </c>
      <c r="I92" s="20" t="n">
        <v>0.6</v>
      </c>
      <c r="J92" s="21" t="n">
        <v>39000</v>
      </c>
      <c r="K92" s="22" t="n">
        <v>6.2</v>
      </c>
      <c r="L92" s="23" t="n">
        <v>4</v>
      </c>
      <c r="M92" s="19" t="n">
        <v>32</v>
      </c>
      <c r="N92" s="19"/>
      <c r="O92" s="17" t="s">
        <v>39</v>
      </c>
      <c r="P92" s="17" t="s">
        <v>170</v>
      </c>
    </row>
    <row r="93" customFormat="false" ht="15.75" hidden="false" customHeight="true" outlineLevel="0" collapsed="false">
      <c r="A93" s="4" t="s">
        <v>216</v>
      </c>
      <c r="B93" s="5" t="s">
        <v>217</v>
      </c>
      <c r="C93" s="5" t="s">
        <v>218</v>
      </c>
      <c r="D93" s="5" t="s">
        <v>20</v>
      </c>
      <c r="E93" s="5" t="s">
        <v>21</v>
      </c>
      <c r="F93" s="5" t="s">
        <v>22</v>
      </c>
      <c r="G93" s="5" t="s">
        <v>23</v>
      </c>
      <c r="H93" s="6" t="n">
        <v>53</v>
      </c>
      <c r="I93" s="7" t="n">
        <v>10</v>
      </c>
      <c r="J93" s="8" t="n">
        <v>145500</v>
      </c>
      <c r="K93" s="9" t="n">
        <v>19.5</v>
      </c>
      <c r="L93" s="10" t="n">
        <v>3</v>
      </c>
      <c r="M93" s="6" t="n">
        <v>13</v>
      </c>
      <c r="N93" s="6" t="n">
        <v>2023</v>
      </c>
      <c r="O93" s="4" t="s">
        <v>24</v>
      </c>
      <c r="P93" s="4" t="s">
        <v>25</v>
      </c>
    </row>
    <row r="94" customFormat="false" ht="15.75" hidden="false" customHeight="true" outlineLevel="0" collapsed="false">
      <c r="A94" s="17" t="s">
        <v>219</v>
      </c>
      <c r="B94" s="18" t="s">
        <v>220</v>
      </c>
      <c r="C94" s="18" t="s">
        <v>218</v>
      </c>
      <c r="D94" s="18" t="s">
        <v>35</v>
      </c>
      <c r="E94" s="18" t="s">
        <v>21</v>
      </c>
      <c r="F94" s="18" t="s">
        <v>22</v>
      </c>
      <c r="G94" s="18" t="s">
        <v>32</v>
      </c>
      <c r="H94" s="19" t="n">
        <v>46</v>
      </c>
      <c r="I94" s="20" t="n">
        <v>2.3</v>
      </c>
      <c r="J94" s="21" t="n">
        <v>101000</v>
      </c>
      <c r="K94" s="22" t="n">
        <v>17.9</v>
      </c>
      <c r="L94" s="23" t="n">
        <v>4</v>
      </c>
      <c r="M94" s="19" t="n">
        <v>9</v>
      </c>
      <c r="N94" s="19" t="n">
        <v>2023</v>
      </c>
      <c r="O94" s="17" t="s">
        <v>39</v>
      </c>
      <c r="P94" s="17" t="s">
        <v>216</v>
      </c>
    </row>
    <row r="95" customFormat="false" ht="15.75" hidden="false" customHeight="true" outlineLevel="0" collapsed="false">
      <c r="A95" s="4" t="s">
        <v>221</v>
      </c>
      <c r="B95" s="5" t="s">
        <v>222</v>
      </c>
      <c r="C95" s="5" t="s">
        <v>218</v>
      </c>
      <c r="D95" s="5" t="s">
        <v>35</v>
      </c>
      <c r="E95" s="5" t="s">
        <v>21</v>
      </c>
      <c r="F95" s="5" t="s">
        <v>22</v>
      </c>
      <c r="G95" s="5" t="s">
        <v>32</v>
      </c>
      <c r="H95" s="6" t="n">
        <v>42</v>
      </c>
      <c r="I95" s="7" t="n">
        <v>7.3</v>
      </c>
      <c r="J95" s="8" t="n">
        <v>103000</v>
      </c>
      <c r="K95" s="9" t="n">
        <v>19.2</v>
      </c>
      <c r="L95" s="23" t="n">
        <v>4</v>
      </c>
      <c r="M95" s="6" t="n">
        <v>26</v>
      </c>
      <c r="N95" s="6" t="n">
        <v>2020</v>
      </c>
      <c r="O95" s="4" t="s">
        <v>24</v>
      </c>
      <c r="P95" s="4" t="s">
        <v>216</v>
      </c>
    </row>
    <row r="96" customFormat="false" ht="15.75" hidden="false" customHeight="true" outlineLevel="0" collapsed="false">
      <c r="A96" s="11" t="s">
        <v>223</v>
      </c>
      <c r="B96" s="12" t="s">
        <v>224</v>
      </c>
      <c r="C96" s="12" t="s">
        <v>218</v>
      </c>
      <c r="D96" s="12" t="s">
        <v>35</v>
      </c>
      <c r="E96" s="12" t="s">
        <v>58</v>
      </c>
      <c r="F96" s="12" t="s">
        <v>22</v>
      </c>
      <c r="G96" s="12" t="s">
        <v>28</v>
      </c>
      <c r="H96" s="13" t="n">
        <v>41</v>
      </c>
      <c r="I96" s="14" t="n">
        <v>6.6</v>
      </c>
      <c r="J96" s="15" t="n">
        <v>99000</v>
      </c>
      <c r="K96" s="16" t="n">
        <v>17.6</v>
      </c>
      <c r="L96" s="10" t="n">
        <v>3</v>
      </c>
      <c r="M96" s="13" t="n">
        <v>12</v>
      </c>
      <c r="N96" s="13" t="n">
        <v>2022</v>
      </c>
      <c r="O96" s="11" t="s">
        <v>24</v>
      </c>
      <c r="P96" s="11" t="s">
        <v>216</v>
      </c>
    </row>
    <row r="97" customFormat="false" ht="15.75" hidden="false" customHeight="true" outlineLevel="0" collapsed="false">
      <c r="A97" s="4" t="s">
        <v>225</v>
      </c>
      <c r="B97" s="5" t="s">
        <v>226</v>
      </c>
      <c r="C97" s="5" t="s">
        <v>218</v>
      </c>
      <c r="D97" s="5" t="s">
        <v>35</v>
      </c>
      <c r="E97" s="5" t="s">
        <v>21</v>
      </c>
      <c r="F97" s="5" t="s">
        <v>22</v>
      </c>
      <c r="G97" s="5" t="s">
        <v>32</v>
      </c>
      <c r="H97" s="6" t="n">
        <v>40</v>
      </c>
      <c r="I97" s="7" t="n">
        <v>8.4</v>
      </c>
      <c r="J97" s="8" t="n">
        <v>97000</v>
      </c>
      <c r="K97" s="9" t="n">
        <v>16.2</v>
      </c>
      <c r="L97" s="10" t="n">
        <v>3</v>
      </c>
      <c r="M97" s="6" t="n">
        <v>6</v>
      </c>
      <c r="N97" s="6" t="n">
        <v>2024</v>
      </c>
      <c r="O97" s="4" t="s">
        <v>24</v>
      </c>
      <c r="P97" s="4" t="s">
        <v>216</v>
      </c>
    </row>
    <row r="98" customFormat="false" ht="15.75" hidden="false" customHeight="true" outlineLevel="0" collapsed="false">
      <c r="A98" s="11" t="s">
        <v>227</v>
      </c>
      <c r="B98" s="12" t="s">
        <v>228</v>
      </c>
      <c r="C98" s="12" t="s">
        <v>218</v>
      </c>
      <c r="D98" s="12" t="s">
        <v>53</v>
      </c>
      <c r="E98" s="12" t="s">
        <v>58</v>
      </c>
      <c r="F98" s="12" t="s">
        <v>22</v>
      </c>
      <c r="G98" s="12" t="s">
        <v>23</v>
      </c>
      <c r="H98" s="13" t="n">
        <v>36</v>
      </c>
      <c r="I98" s="14" t="n">
        <v>8.1</v>
      </c>
      <c r="J98" s="15" t="n">
        <v>85500</v>
      </c>
      <c r="K98" s="16" t="n">
        <v>14.4</v>
      </c>
      <c r="L98" s="10" t="n">
        <v>3</v>
      </c>
      <c r="M98" s="13" t="n">
        <v>25</v>
      </c>
      <c r="N98" s="13" t="n">
        <v>2023</v>
      </c>
      <c r="O98" s="11" t="s">
        <v>24</v>
      </c>
      <c r="P98" s="11" t="s">
        <v>219</v>
      </c>
    </row>
    <row r="99" customFormat="false" ht="15.75" hidden="false" customHeight="true" outlineLevel="0" collapsed="false">
      <c r="A99" s="4" t="s">
        <v>229</v>
      </c>
      <c r="B99" s="5" t="s">
        <v>230</v>
      </c>
      <c r="C99" s="5" t="s">
        <v>218</v>
      </c>
      <c r="D99" s="5" t="s">
        <v>53</v>
      </c>
      <c r="E99" s="5" t="s">
        <v>21</v>
      </c>
      <c r="F99" s="5" t="s">
        <v>46</v>
      </c>
      <c r="G99" s="5" t="s">
        <v>32</v>
      </c>
      <c r="H99" s="6" t="n">
        <v>35</v>
      </c>
      <c r="I99" s="7" t="n">
        <v>8.3</v>
      </c>
      <c r="J99" s="8" t="n">
        <v>76500</v>
      </c>
      <c r="K99" s="9" t="n">
        <v>14.1</v>
      </c>
      <c r="L99" s="10" t="n">
        <v>3</v>
      </c>
      <c r="M99" s="6" t="n">
        <v>27</v>
      </c>
      <c r="N99" s="6" t="n">
        <v>2023</v>
      </c>
      <c r="O99" s="4" t="s">
        <v>24</v>
      </c>
      <c r="P99" s="4" t="s">
        <v>219</v>
      </c>
    </row>
    <row r="100" customFormat="false" ht="15.75" hidden="false" customHeight="true" outlineLevel="0" collapsed="false">
      <c r="A100" s="11" t="s">
        <v>231</v>
      </c>
      <c r="B100" s="12" t="s">
        <v>232</v>
      </c>
      <c r="C100" s="12" t="s">
        <v>218</v>
      </c>
      <c r="D100" s="12" t="s">
        <v>53</v>
      </c>
      <c r="E100" s="12" t="s">
        <v>21</v>
      </c>
      <c r="F100" s="12" t="s">
        <v>46</v>
      </c>
      <c r="G100" s="12" t="s">
        <v>23</v>
      </c>
      <c r="H100" s="13" t="n">
        <v>32</v>
      </c>
      <c r="I100" s="14" t="n">
        <v>4.3</v>
      </c>
      <c r="J100" s="15" t="n">
        <v>77500</v>
      </c>
      <c r="K100" s="16" t="n">
        <v>12.3</v>
      </c>
      <c r="L100" s="10" t="n">
        <v>3</v>
      </c>
      <c r="M100" s="13" t="n">
        <v>19</v>
      </c>
      <c r="N100" s="13" t="n">
        <v>2022</v>
      </c>
      <c r="O100" s="11" t="s">
        <v>24</v>
      </c>
      <c r="P100" s="11" t="s">
        <v>219</v>
      </c>
    </row>
    <row r="101" customFormat="false" ht="15.75" hidden="false" customHeight="true" outlineLevel="0" collapsed="false">
      <c r="A101" s="4" t="s">
        <v>233</v>
      </c>
      <c r="B101" s="5" t="s">
        <v>234</v>
      </c>
      <c r="C101" s="5" t="s">
        <v>218</v>
      </c>
      <c r="D101" s="5" t="s">
        <v>53</v>
      </c>
      <c r="E101" s="5" t="s">
        <v>21</v>
      </c>
      <c r="F101" s="5" t="s">
        <v>22</v>
      </c>
      <c r="G101" s="5" t="s">
        <v>32</v>
      </c>
      <c r="H101" s="6" t="n">
        <v>33</v>
      </c>
      <c r="I101" s="7" t="n">
        <v>7.4</v>
      </c>
      <c r="J101" s="8" t="n">
        <v>72000</v>
      </c>
      <c r="K101" s="9" t="n">
        <v>11</v>
      </c>
      <c r="L101" s="10" t="n">
        <v>3</v>
      </c>
      <c r="M101" s="6" t="n">
        <v>22</v>
      </c>
      <c r="N101" s="6" t="n">
        <v>2024</v>
      </c>
      <c r="O101" s="4" t="s">
        <v>24</v>
      </c>
      <c r="P101" s="4" t="s">
        <v>219</v>
      </c>
    </row>
    <row r="102" customFormat="false" ht="15.75" hidden="false" customHeight="true" outlineLevel="0" collapsed="false">
      <c r="A102" s="11" t="s">
        <v>235</v>
      </c>
      <c r="B102" s="12" t="s">
        <v>236</v>
      </c>
      <c r="C102" s="12" t="s">
        <v>218</v>
      </c>
      <c r="D102" s="12" t="s">
        <v>53</v>
      </c>
      <c r="E102" s="12" t="s">
        <v>58</v>
      </c>
      <c r="F102" s="12" t="s">
        <v>22</v>
      </c>
      <c r="G102" s="12" t="s">
        <v>23</v>
      </c>
      <c r="H102" s="13" t="n">
        <v>30</v>
      </c>
      <c r="I102" s="14" t="n">
        <v>7.1</v>
      </c>
      <c r="J102" s="15" t="n">
        <v>81500</v>
      </c>
      <c r="K102" s="16" t="n">
        <v>10.4</v>
      </c>
      <c r="L102" s="10" t="n">
        <v>3</v>
      </c>
      <c r="M102" s="13" t="n">
        <v>9</v>
      </c>
      <c r="N102" s="13" t="n">
        <v>2020</v>
      </c>
      <c r="O102" s="11" t="s">
        <v>24</v>
      </c>
      <c r="P102" s="11" t="s">
        <v>219</v>
      </c>
    </row>
    <row r="103" customFormat="false" ht="15.75" hidden="false" customHeight="true" outlineLevel="0" collapsed="false">
      <c r="A103" s="4" t="s">
        <v>237</v>
      </c>
      <c r="B103" s="5" t="s">
        <v>238</v>
      </c>
      <c r="C103" s="5" t="s">
        <v>218</v>
      </c>
      <c r="D103" s="5" t="s">
        <v>53</v>
      </c>
      <c r="E103" s="5" t="s">
        <v>21</v>
      </c>
      <c r="F103" s="5" t="s">
        <v>46</v>
      </c>
      <c r="G103" s="5" t="s">
        <v>32</v>
      </c>
      <c r="H103" s="6" t="n">
        <v>45</v>
      </c>
      <c r="I103" s="7" t="n">
        <v>5.3</v>
      </c>
      <c r="J103" s="8" t="n">
        <v>82000</v>
      </c>
      <c r="K103" s="9" t="n">
        <v>14.6</v>
      </c>
      <c r="L103" s="23" t="n">
        <v>4</v>
      </c>
      <c r="M103" s="6" t="n">
        <v>30</v>
      </c>
      <c r="N103" s="6" t="n">
        <v>2022</v>
      </c>
      <c r="O103" s="4" t="s">
        <v>24</v>
      </c>
      <c r="P103" s="4" t="s">
        <v>219</v>
      </c>
    </row>
    <row r="104" customFormat="false" ht="15.75" hidden="false" customHeight="true" outlineLevel="0" collapsed="false">
      <c r="A104" s="11" t="s">
        <v>239</v>
      </c>
      <c r="B104" s="12" t="s">
        <v>240</v>
      </c>
      <c r="C104" s="12" t="s">
        <v>218</v>
      </c>
      <c r="D104" s="12" t="s">
        <v>53</v>
      </c>
      <c r="E104" s="12" t="s">
        <v>21</v>
      </c>
      <c r="F104" s="12" t="s">
        <v>46</v>
      </c>
      <c r="G104" s="12" t="s">
        <v>23</v>
      </c>
      <c r="H104" s="13" t="n">
        <v>38</v>
      </c>
      <c r="I104" s="14" t="n">
        <v>4.2</v>
      </c>
      <c r="J104" s="15" t="n">
        <v>78000</v>
      </c>
      <c r="K104" s="16" t="n">
        <v>10.8</v>
      </c>
      <c r="L104" s="10" t="n">
        <v>3</v>
      </c>
      <c r="M104" s="13" t="n">
        <v>15</v>
      </c>
      <c r="N104" s="13" t="n">
        <v>2023</v>
      </c>
      <c r="O104" s="11" t="s">
        <v>24</v>
      </c>
      <c r="P104" s="11" t="s">
        <v>219</v>
      </c>
    </row>
    <row r="105" customFormat="false" ht="15.75" hidden="false" customHeight="true" outlineLevel="0" collapsed="false">
      <c r="A105" s="17" t="s">
        <v>241</v>
      </c>
      <c r="B105" s="18" t="s">
        <v>242</v>
      </c>
      <c r="C105" s="18" t="s">
        <v>218</v>
      </c>
      <c r="D105" s="18" t="s">
        <v>53</v>
      </c>
      <c r="E105" s="18" t="s">
        <v>38</v>
      </c>
      <c r="F105" s="18" t="s">
        <v>46</v>
      </c>
      <c r="G105" s="18" t="s">
        <v>23</v>
      </c>
      <c r="H105" s="19" t="n">
        <v>32</v>
      </c>
      <c r="I105" s="20" t="n">
        <v>8.2</v>
      </c>
      <c r="J105" s="21" t="n">
        <v>97500</v>
      </c>
      <c r="K105" s="22" t="n">
        <v>16.1</v>
      </c>
      <c r="L105" s="24" t="n">
        <v>5</v>
      </c>
      <c r="M105" s="19" t="n">
        <v>17</v>
      </c>
      <c r="N105" s="19" t="n">
        <v>2022</v>
      </c>
      <c r="O105" s="17" t="s">
        <v>39</v>
      </c>
      <c r="P105" s="17" t="s">
        <v>219</v>
      </c>
    </row>
    <row r="106" customFormat="false" ht="15.75" hidden="false" customHeight="true" outlineLevel="0" collapsed="false">
      <c r="A106" s="11" t="s">
        <v>243</v>
      </c>
      <c r="B106" s="12" t="s">
        <v>244</v>
      </c>
      <c r="C106" s="12" t="s">
        <v>218</v>
      </c>
      <c r="D106" s="12" t="s">
        <v>53</v>
      </c>
      <c r="E106" s="12" t="s">
        <v>21</v>
      </c>
      <c r="F106" s="12" t="s">
        <v>46</v>
      </c>
      <c r="G106" s="12" t="s">
        <v>32</v>
      </c>
      <c r="H106" s="13" t="n">
        <v>42</v>
      </c>
      <c r="I106" s="14" t="n">
        <v>8.5</v>
      </c>
      <c r="J106" s="15" t="n">
        <v>86500</v>
      </c>
      <c r="K106" s="16" t="n">
        <v>14.7</v>
      </c>
      <c r="L106" s="23" t="n">
        <v>4</v>
      </c>
      <c r="M106" s="13" t="n">
        <v>15</v>
      </c>
      <c r="N106" s="13" t="n">
        <v>2021</v>
      </c>
      <c r="O106" s="11" t="s">
        <v>24</v>
      </c>
      <c r="P106" s="11" t="s">
        <v>219</v>
      </c>
    </row>
    <row r="107" customFormat="false" ht="15.75" hidden="false" customHeight="true" outlineLevel="0" collapsed="false">
      <c r="A107" s="4" t="s">
        <v>245</v>
      </c>
      <c r="B107" s="5" t="s">
        <v>246</v>
      </c>
      <c r="C107" s="5" t="s">
        <v>218</v>
      </c>
      <c r="D107" s="5" t="s">
        <v>79</v>
      </c>
      <c r="E107" s="5" t="s">
        <v>58</v>
      </c>
      <c r="F107" s="5" t="s">
        <v>22</v>
      </c>
      <c r="G107" s="5" t="s">
        <v>32</v>
      </c>
      <c r="H107" s="6" t="n">
        <v>29</v>
      </c>
      <c r="I107" s="7" t="n">
        <v>4.9</v>
      </c>
      <c r="J107" s="8" t="n">
        <v>50500</v>
      </c>
      <c r="K107" s="9" t="n">
        <v>9</v>
      </c>
      <c r="L107" s="10" t="n">
        <v>3</v>
      </c>
      <c r="M107" s="6" t="n">
        <v>28</v>
      </c>
      <c r="N107" s="6" t="n">
        <v>2022</v>
      </c>
      <c r="O107" s="4" t="s">
        <v>24</v>
      </c>
      <c r="P107" s="4" t="s">
        <v>227</v>
      </c>
    </row>
    <row r="108" customFormat="false" ht="15.75" hidden="false" customHeight="true" outlineLevel="0" collapsed="false">
      <c r="A108" s="11" t="s">
        <v>247</v>
      </c>
      <c r="B108" s="12" t="s">
        <v>248</v>
      </c>
      <c r="C108" s="12" t="s">
        <v>218</v>
      </c>
      <c r="D108" s="12" t="s">
        <v>79</v>
      </c>
      <c r="E108" s="12" t="s">
        <v>38</v>
      </c>
      <c r="F108" s="12" t="s">
        <v>46</v>
      </c>
      <c r="G108" s="12" t="s">
        <v>32</v>
      </c>
      <c r="H108" s="13" t="n">
        <v>33</v>
      </c>
      <c r="I108" s="14" t="n">
        <v>4.8</v>
      </c>
      <c r="J108" s="15" t="n">
        <v>47000</v>
      </c>
      <c r="K108" s="16" t="n">
        <v>9.6</v>
      </c>
      <c r="L108" s="26" t="n">
        <v>2</v>
      </c>
      <c r="M108" s="13" t="n">
        <v>11</v>
      </c>
      <c r="N108" s="13" t="n">
        <v>2022</v>
      </c>
      <c r="O108" s="11" t="s">
        <v>24</v>
      </c>
      <c r="P108" s="11" t="s">
        <v>227</v>
      </c>
    </row>
    <row r="109" customFormat="false" ht="15.75" hidden="false" customHeight="true" outlineLevel="0" collapsed="false">
      <c r="A109" s="4" t="s">
        <v>249</v>
      </c>
      <c r="B109" s="5" t="s">
        <v>250</v>
      </c>
      <c r="C109" s="5" t="s">
        <v>218</v>
      </c>
      <c r="D109" s="5" t="s">
        <v>79</v>
      </c>
      <c r="E109" s="5" t="s">
        <v>21</v>
      </c>
      <c r="F109" s="5" t="s">
        <v>22</v>
      </c>
      <c r="G109" s="5" t="s">
        <v>23</v>
      </c>
      <c r="H109" s="6" t="n">
        <v>31</v>
      </c>
      <c r="I109" s="7" t="n">
        <v>3</v>
      </c>
      <c r="J109" s="8" t="n">
        <v>46500</v>
      </c>
      <c r="K109" s="9" t="n">
        <v>5</v>
      </c>
      <c r="L109" s="26" t="n">
        <v>2</v>
      </c>
      <c r="M109" s="6" t="n">
        <v>9</v>
      </c>
      <c r="N109" s="6" t="n">
        <v>2022</v>
      </c>
      <c r="O109" s="4" t="s">
        <v>24</v>
      </c>
      <c r="P109" s="4" t="s">
        <v>227</v>
      </c>
    </row>
    <row r="110" customFormat="false" ht="15.75" hidden="false" customHeight="true" outlineLevel="0" collapsed="false">
      <c r="A110" s="11" t="s">
        <v>251</v>
      </c>
      <c r="B110" s="12" t="s">
        <v>252</v>
      </c>
      <c r="C110" s="12" t="s">
        <v>218</v>
      </c>
      <c r="D110" s="12" t="s">
        <v>79</v>
      </c>
      <c r="E110" s="12" t="s">
        <v>21</v>
      </c>
      <c r="F110" s="12" t="s">
        <v>46</v>
      </c>
      <c r="G110" s="12" t="s">
        <v>23</v>
      </c>
      <c r="H110" s="13" t="n">
        <v>29</v>
      </c>
      <c r="I110" s="14" t="n">
        <v>1.4</v>
      </c>
      <c r="J110" s="15" t="n">
        <v>50000</v>
      </c>
      <c r="K110" s="16" t="n">
        <v>9.7</v>
      </c>
      <c r="L110" s="10" t="n">
        <v>3</v>
      </c>
      <c r="M110" s="13" t="n">
        <v>26</v>
      </c>
      <c r="N110" s="13" t="n">
        <v>2024</v>
      </c>
      <c r="O110" s="11" t="s">
        <v>24</v>
      </c>
      <c r="P110" s="11" t="s">
        <v>227</v>
      </c>
    </row>
    <row r="111" customFormat="false" ht="15.75" hidden="false" customHeight="true" outlineLevel="0" collapsed="false">
      <c r="A111" s="4" t="s">
        <v>253</v>
      </c>
      <c r="B111" s="5" t="s">
        <v>254</v>
      </c>
      <c r="C111" s="5" t="s">
        <v>218</v>
      </c>
      <c r="D111" s="5" t="s">
        <v>79</v>
      </c>
      <c r="E111" s="5" t="s">
        <v>38</v>
      </c>
      <c r="F111" s="5" t="s">
        <v>46</v>
      </c>
      <c r="G111" s="5" t="s">
        <v>32</v>
      </c>
      <c r="H111" s="6" t="n">
        <v>26</v>
      </c>
      <c r="I111" s="7" t="n">
        <v>1.7</v>
      </c>
      <c r="J111" s="8" t="n">
        <v>54500</v>
      </c>
      <c r="K111" s="9" t="n">
        <v>11.2</v>
      </c>
      <c r="L111" s="24" t="n">
        <v>5</v>
      </c>
      <c r="M111" s="6" t="n">
        <v>33</v>
      </c>
      <c r="N111" s="6" t="n">
        <v>2024</v>
      </c>
      <c r="O111" s="4" t="s">
        <v>24</v>
      </c>
      <c r="P111" s="4" t="s">
        <v>227</v>
      </c>
    </row>
    <row r="112" customFormat="false" ht="15.75" hidden="false" customHeight="true" outlineLevel="0" collapsed="false">
      <c r="A112" s="11" t="s">
        <v>255</v>
      </c>
      <c r="B112" s="12" t="s">
        <v>256</v>
      </c>
      <c r="C112" s="12" t="s">
        <v>218</v>
      </c>
      <c r="D112" s="12" t="s">
        <v>79</v>
      </c>
      <c r="E112" s="12" t="s">
        <v>21</v>
      </c>
      <c r="F112" s="12" t="s">
        <v>46</v>
      </c>
      <c r="G112" s="12" t="s">
        <v>23</v>
      </c>
      <c r="H112" s="13" t="n">
        <v>30</v>
      </c>
      <c r="I112" s="14" t="n">
        <v>4.1</v>
      </c>
      <c r="J112" s="15" t="n">
        <v>54000</v>
      </c>
      <c r="K112" s="16" t="n">
        <v>9.4</v>
      </c>
      <c r="L112" s="10" t="n">
        <v>3</v>
      </c>
      <c r="M112" s="13" t="n">
        <v>23</v>
      </c>
      <c r="N112" s="13" t="n">
        <v>2022</v>
      </c>
      <c r="O112" s="11" t="s">
        <v>24</v>
      </c>
      <c r="P112" s="11" t="s">
        <v>227</v>
      </c>
    </row>
    <row r="113" customFormat="false" ht="15.75" hidden="false" customHeight="true" outlineLevel="0" collapsed="false">
      <c r="A113" s="4" t="s">
        <v>257</v>
      </c>
      <c r="B113" s="5" t="s">
        <v>258</v>
      </c>
      <c r="C113" s="5" t="s">
        <v>218</v>
      </c>
      <c r="D113" s="5" t="s">
        <v>79</v>
      </c>
      <c r="E113" s="5" t="s">
        <v>58</v>
      </c>
      <c r="F113" s="5" t="s">
        <v>22</v>
      </c>
      <c r="G113" s="5" t="s">
        <v>23</v>
      </c>
      <c r="H113" s="6" t="n">
        <v>32</v>
      </c>
      <c r="I113" s="7" t="n">
        <v>1.6</v>
      </c>
      <c r="J113" s="8" t="n">
        <v>55500</v>
      </c>
      <c r="K113" s="9" t="n">
        <v>8.8</v>
      </c>
      <c r="L113" s="23" t="n">
        <v>4</v>
      </c>
      <c r="M113" s="6" t="n">
        <v>29</v>
      </c>
      <c r="N113" s="6" t="n">
        <v>2024</v>
      </c>
      <c r="O113" s="4" t="s">
        <v>24</v>
      </c>
      <c r="P113" s="4" t="s">
        <v>227</v>
      </c>
    </row>
    <row r="114" customFormat="false" ht="15.75" hidden="false" customHeight="true" outlineLevel="0" collapsed="false">
      <c r="A114" s="11" t="s">
        <v>259</v>
      </c>
      <c r="B114" s="12" t="s">
        <v>260</v>
      </c>
      <c r="C114" s="12" t="s">
        <v>218</v>
      </c>
      <c r="D114" s="12" t="s">
        <v>79</v>
      </c>
      <c r="E114" s="12" t="s">
        <v>58</v>
      </c>
      <c r="F114" s="12" t="s">
        <v>46</v>
      </c>
      <c r="G114" s="12" t="s">
        <v>32</v>
      </c>
      <c r="H114" s="13" t="n">
        <v>32</v>
      </c>
      <c r="I114" s="14" t="n">
        <v>2.7</v>
      </c>
      <c r="J114" s="15" t="n">
        <v>51500</v>
      </c>
      <c r="K114" s="16" t="n">
        <v>7.2</v>
      </c>
      <c r="L114" s="23" t="n">
        <v>4</v>
      </c>
      <c r="M114" s="13" t="n">
        <v>32</v>
      </c>
      <c r="N114" s="13" t="n">
        <v>2023</v>
      </c>
      <c r="O114" s="11" t="s">
        <v>24</v>
      </c>
      <c r="P114" s="11" t="s">
        <v>227</v>
      </c>
    </row>
    <row r="115" customFormat="false" ht="15.75" hidden="false" customHeight="true" outlineLevel="0" collapsed="false">
      <c r="A115" s="17" t="s">
        <v>261</v>
      </c>
      <c r="B115" s="18" t="s">
        <v>262</v>
      </c>
      <c r="C115" s="18" t="s">
        <v>218</v>
      </c>
      <c r="D115" s="18" t="s">
        <v>79</v>
      </c>
      <c r="E115" s="18" t="s">
        <v>21</v>
      </c>
      <c r="F115" s="18" t="s">
        <v>22</v>
      </c>
      <c r="G115" s="18" t="s">
        <v>32</v>
      </c>
      <c r="H115" s="19" t="n">
        <v>28</v>
      </c>
      <c r="I115" s="20" t="n">
        <v>2.7</v>
      </c>
      <c r="J115" s="21" t="n">
        <v>49000</v>
      </c>
      <c r="K115" s="22" t="n">
        <v>5.8</v>
      </c>
      <c r="L115" s="10" t="n">
        <v>3</v>
      </c>
      <c r="M115" s="19" t="n">
        <v>16</v>
      </c>
      <c r="N115" s="19" t="n">
        <v>2023</v>
      </c>
      <c r="O115" s="17" t="s">
        <v>39</v>
      </c>
      <c r="P115" s="17" t="s">
        <v>227</v>
      </c>
    </row>
    <row r="116" customFormat="false" ht="15.75" hidden="false" customHeight="true" outlineLevel="0" collapsed="false">
      <c r="A116" s="11" t="s">
        <v>263</v>
      </c>
      <c r="B116" s="12" t="s">
        <v>264</v>
      </c>
      <c r="C116" s="12" t="s">
        <v>218</v>
      </c>
      <c r="D116" s="12" t="s">
        <v>79</v>
      </c>
      <c r="E116" s="12" t="s">
        <v>38</v>
      </c>
      <c r="F116" s="12" t="s">
        <v>22</v>
      </c>
      <c r="G116" s="12" t="s">
        <v>32</v>
      </c>
      <c r="H116" s="13" t="n">
        <v>28</v>
      </c>
      <c r="I116" s="14" t="n">
        <v>1.6</v>
      </c>
      <c r="J116" s="15" t="n">
        <v>54000</v>
      </c>
      <c r="K116" s="16" t="n">
        <v>9.3</v>
      </c>
      <c r="L116" s="23" t="n">
        <v>4</v>
      </c>
      <c r="M116" s="13" t="n">
        <v>26</v>
      </c>
      <c r="N116" s="13" t="n">
        <v>2024</v>
      </c>
      <c r="O116" s="11" t="s">
        <v>24</v>
      </c>
      <c r="P116" s="11" t="s">
        <v>227</v>
      </c>
    </row>
    <row r="117" customFormat="false" ht="15.75" hidden="false" customHeight="true" outlineLevel="0" collapsed="false">
      <c r="A117" s="4" t="s">
        <v>265</v>
      </c>
      <c r="B117" s="5" t="s">
        <v>266</v>
      </c>
      <c r="C117" s="5" t="s">
        <v>218</v>
      </c>
      <c r="D117" s="5" t="s">
        <v>79</v>
      </c>
      <c r="E117" s="5" t="s">
        <v>21</v>
      </c>
      <c r="F117" s="5" t="s">
        <v>46</v>
      </c>
      <c r="G117" s="5" t="s">
        <v>23</v>
      </c>
      <c r="H117" s="6" t="n">
        <v>34</v>
      </c>
      <c r="I117" s="7" t="n">
        <v>4</v>
      </c>
      <c r="J117" s="8" t="n">
        <v>52000</v>
      </c>
      <c r="K117" s="9" t="n">
        <v>6.9</v>
      </c>
      <c r="L117" s="10" t="n">
        <v>3</v>
      </c>
      <c r="M117" s="6" t="n">
        <v>22</v>
      </c>
      <c r="N117" s="6" t="n">
        <v>2022</v>
      </c>
      <c r="O117" s="4" t="s">
        <v>24</v>
      </c>
      <c r="P117" s="4" t="s">
        <v>227</v>
      </c>
    </row>
    <row r="118" customFormat="false" ht="15.75" hidden="false" customHeight="true" outlineLevel="0" collapsed="false">
      <c r="A118" s="11" t="s">
        <v>267</v>
      </c>
      <c r="B118" s="12" t="s">
        <v>268</v>
      </c>
      <c r="C118" s="12" t="s">
        <v>218</v>
      </c>
      <c r="D118" s="12" t="s">
        <v>79</v>
      </c>
      <c r="E118" s="12" t="s">
        <v>58</v>
      </c>
      <c r="F118" s="12" t="s">
        <v>22</v>
      </c>
      <c r="G118" s="12" t="s">
        <v>23</v>
      </c>
      <c r="H118" s="13" t="n">
        <v>32</v>
      </c>
      <c r="I118" s="14" t="n">
        <v>4.4</v>
      </c>
      <c r="J118" s="15" t="n">
        <v>55000</v>
      </c>
      <c r="K118" s="16" t="n">
        <v>7.3</v>
      </c>
      <c r="L118" s="10" t="n">
        <v>3</v>
      </c>
      <c r="M118" s="13" t="n">
        <v>26</v>
      </c>
      <c r="N118" s="13" t="n">
        <v>2023</v>
      </c>
      <c r="O118" s="11" t="s">
        <v>24</v>
      </c>
      <c r="P118" s="11" t="s">
        <v>227</v>
      </c>
    </row>
    <row r="119" customFormat="false" ht="15.75" hidden="false" customHeight="true" outlineLevel="0" collapsed="false">
      <c r="A119" s="4" t="s">
        <v>269</v>
      </c>
      <c r="B119" s="5" t="s">
        <v>270</v>
      </c>
      <c r="C119" s="5" t="s">
        <v>218</v>
      </c>
      <c r="D119" s="5" t="s">
        <v>79</v>
      </c>
      <c r="E119" s="5" t="s">
        <v>21</v>
      </c>
      <c r="F119" s="5" t="s">
        <v>31</v>
      </c>
      <c r="G119" s="5" t="s">
        <v>23</v>
      </c>
      <c r="H119" s="6" t="n">
        <v>32</v>
      </c>
      <c r="I119" s="7" t="n">
        <v>0.3</v>
      </c>
      <c r="J119" s="8" t="n">
        <v>54000</v>
      </c>
      <c r="K119" s="9" t="n">
        <v>12.2</v>
      </c>
      <c r="L119" s="23" t="n">
        <v>4</v>
      </c>
      <c r="M119" s="6" t="n">
        <v>40</v>
      </c>
      <c r="N119" s="6"/>
      <c r="O119" s="4" t="s">
        <v>24</v>
      </c>
      <c r="P119" s="4" t="s">
        <v>227</v>
      </c>
    </row>
    <row r="120" customFormat="false" ht="15.75" hidden="false" customHeight="true" outlineLevel="0" collapsed="false">
      <c r="A120" s="17" t="s">
        <v>271</v>
      </c>
      <c r="B120" s="18" t="s">
        <v>272</v>
      </c>
      <c r="C120" s="18" t="s">
        <v>218</v>
      </c>
      <c r="D120" s="18" t="s">
        <v>79</v>
      </c>
      <c r="E120" s="18" t="s">
        <v>21</v>
      </c>
      <c r="F120" s="18" t="s">
        <v>46</v>
      </c>
      <c r="G120" s="18" t="s">
        <v>23</v>
      </c>
      <c r="H120" s="19" t="n">
        <v>34</v>
      </c>
      <c r="I120" s="20" t="n">
        <v>5.7</v>
      </c>
      <c r="J120" s="21" t="n">
        <v>60000</v>
      </c>
      <c r="K120" s="22" t="n">
        <v>8.8</v>
      </c>
      <c r="L120" s="23" t="n">
        <v>4</v>
      </c>
      <c r="M120" s="19" t="n">
        <v>34</v>
      </c>
      <c r="N120" s="19" t="n">
        <v>2023</v>
      </c>
      <c r="O120" s="17" t="s">
        <v>39</v>
      </c>
      <c r="P120" s="17" t="s">
        <v>227</v>
      </c>
    </row>
    <row r="121" customFormat="false" ht="15.75" hidden="false" customHeight="true" outlineLevel="0" collapsed="false">
      <c r="A121" s="4" t="s">
        <v>273</v>
      </c>
      <c r="B121" s="5" t="s">
        <v>274</v>
      </c>
      <c r="C121" s="5" t="s">
        <v>218</v>
      </c>
      <c r="D121" s="5" t="s">
        <v>112</v>
      </c>
      <c r="E121" s="5" t="s">
        <v>58</v>
      </c>
      <c r="F121" s="5" t="s">
        <v>31</v>
      </c>
      <c r="G121" s="5" t="s">
        <v>32</v>
      </c>
      <c r="H121" s="6" t="n">
        <v>24</v>
      </c>
      <c r="I121" s="7" t="n">
        <v>0.3</v>
      </c>
      <c r="J121" s="8" t="n">
        <v>37500</v>
      </c>
      <c r="K121" s="9" t="n">
        <v>9.8</v>
      </c>
      <c r="L121" s="24" t="n">
        <v>5</v>
      </c>
      <c r="M121" s="6" t="n">
        <v>32</v>
      </c>
      <c r="N121" s="6"/>
      <c r="O121" s="4" t="s">
        <v>24</v>
      </c>
      <c r="P121" s="4" t="s">
        <v>245</v>
      </c>
    </row>
    <row r="122" customFormat="false" ht="15.75" hidden="false" customHeight="true" outlineLevel="0" collapsed="false">
      <c r="A122" s="17" t="s">
        <v>275</v>
      </c>
      <c r="B122" s="18" t="s">
        <v>276</v>
      </c>
      <c r="C122" s="18" t="s">
        <v>218</v>
      </c>
      <c r="D122" s="18" t="s">
        <v>112</v>
      </c>
      <c r="E122" s="18" t="s">
        <v>58</v>
      </c>
      <c r="F122" s="18" t="s">
        <v>31</v>
      </c>
      <c r="G122" s="18" t="s">
        <v>23</v>
      </c>
      <c r="H122" s="19" t="n">
        <v>23</v>
      </c>
      <c r="I122" s="20" t="n">
        <v>0.9</v>
      </c>
      <c r="J122" s="21" t="n">
        <v>41500</v>
      </c>
      <c r="K122" s="22" t="n">
        <v>6.1</v>
      </c>
      <c r="L122" s="24" t="n">
        <v>5</v>
      </c>
      <c r="M122" s="19" t="n">
        <v>45</v>
      </c>
      <c r="N122" s="19"/>
      <c r="O122" s="17" t="s">
        <v>39</v>
      </c>
      <c r="P122" s="17" t="s">
        <v>245</v>
      </c>
    </row>
    <row r="123" customFormat="false" ht="15.75" hidden="false" customHeight="true" outlineLevel="0" collapsed="false">
      <c r="A123" s="4" t="s">
        <v>277</v>
      </c>
      <c r="B123" s="5" t="s">
        <v>278</v>
      </c>
      <c r="C123" s="5" t="s">
        <v>218</v>
      </c>
      <c r="D123" s="5" t="s">
        <v>112</v>
      </c>
      <c r="E123" s="5" t="s">
        <v>21</v>
      </c>
      <c r="F123" s="5" t="s">
        <v>22</v>
      </c>
      <c r="G123" s="5" t="s">
        <v>32</v>
      </c>
      <c r="H123" s="6" t="n">
        <v>22</v>
      </c>
      <c r="I123" s="7" t="n">
        <v>0.3</v>
      </c>
      <c r="J123" s="8" t="n">
        <v>32000</v>
      </c>
      <c r="K123" s="9" t="n">
        <v>4.6</v>
      </c>
      <c r="L123" s="10" t="n">
        <v>3</v>
      </c>
      <c r="M123" s="6" t="n">
        <v>31</v>
      </c>
      <c r="N123" s="6"/>
      <c r="O123" s="4" t="s">
        <v>24</v>
      </c>
      <c r="P123" s="4" t="s">
        <v>245</v>
      </c>
    </row>
    <row r="124" customFormat="false" ht="15.75" hidden="false" customHeight="true" outlineLevel="0" collapsed="false">
      <c r="A124" s="11" t="s">
        <v>279</v>
      </c>
      <c r="B124" s="12" t="s">
        <v>280</v>
      </c>
      <c r="C124" s="12" t="s">
        <v>218</v>
      </c>
      <c r="D124" s="12" t="s">
        <v>112</v>
      </c>
      <c r="E124" s="12" t="s">
        <v>38</v>
      </c>
      <c r="F124" s="12" t="s">
        <v>46</v>
      </c>
      <c r="G124" s="12" t="s">
        <v>23</v>
      </c>
      <c r="H124" s="13" t="n">
        <v>26</v>
      </c>
      <c r="I124" s="14" t="n">
        <v>0.8</v>
      </c>
      <c r="J124" s="15" t="n">
        <v>31500</v>
      </c>
      <c r="K124" s="16" t="n">
        <v>2.7</v>
      </c>
      <c r="L124" s="26" t="n">
        <v>2</v>
      </c>
      <c r="M124" s="13" t="n">
        <v>15</v>
      </c>
      <c r="N124" s="13"/>
      <c r="O124" s="11" t="s">
        <v>24</v>
      </c>
      <c r="P124" s="11" t="s">
        <v>245</v>
      </c>
    </row>
    <row r="125" customFormat="false" ht="15.75" hidden="false" customHeight="true" outlineLevel="0" collapsed="false">
      <c r="A125" s="4" t="s">
        <v>281</v>
      </c>
      <c r="B125" s="5" t="s">
        <v>282</v>
      </c>
      <c r="C125" s="5" t="s">
        <v>218</v>
      </c>
      <c r="D125" s="5" t="s">
        <v>112</v>
      </c>
      <c r="E125" s="5" t="s">
        <v>38</v>
      </c>
      <c r="F125" s="5" t="s">
        <v>22</v>
      </c>
      <c r="G125" s="5" t="s">
        <v>32</v>
      </c>
      <c r="H125" s="6" t="n">
        <v>25</v>
      </c>
      <c r="I125" s="7" t="n">
        <v>1.4</v>
      </c>
      <c r="J125" s="8" t="n">
        <v>33500</v>
      </c>
      <c r="K125" s="9" t="n">
        <v>2.7</v>
      </c>
      <c r="L125" s="10" t="n">
        <v>3</v>
      </c>
      <c r="M125" s="6" t="n">
        <v>34</v>
      </c>
      <c r="N125" s="6"/>
      <c r="O125" s="4" t="s">
        <v>24</v>
      </c>
      <c r="P125" s="4" t="s">
        <v>245</v>
      </c>
    </row>
    <row r="126" customFormat="false" ht="15.75" hidden="false" customHeight="true" outlineLevel="0" collapsed="false">
      <c r="A126" s="11" t="s">
        <v>283</v>
      </c>
      <c r="B126" s="12" t="s">
        <v>284</v>
      </c>
      <c r="C126" s="12" t="s">
        <v>218</v>
      </c>
      <c r="D126" s="12" t="s">
        <v>112</v>
      </c>
      <c r="E126" s="12" t="s">
        <v>21</v>
      </c>
      <c r="F126" s="12" t="s">
        <v>46</v>
      </c>
      <c r="G126" s="12" t="s">
        <v>23</v>
      </c>
      <c r="H126" s="13" t="n">
        <v>22</v>
      </c>
      <c r="I126" s="14" t="n">
        <v>1.1</v>
      </c>
      <c r="J126" s="15" t="n">
        <v>36500</v>
      </c>
      <c r="K126" s="16" t="n">
        <v>4.3</v>
      </c>
      <c r="L126" s="10" t="n">
        <v>3</v>
      </c>
      <c r="M126" s="13" t="n">
        <v>23</v>
      </c>
      <c r="N126" s="13"/>
      <c r="O126" s="11" t="s">
        <v>24</v>
      </c>
      <c r="P126" s="11" t="s">
        <v>245</v>
      </c>
    </row>
    <row r="127" customFormat="false" ht="15.75" hidden="false" customHeight="true" outlineLevel="0" collapsed="false">
      <c r="A127" s="4" t="s">
        <v>285</v>
      </c>
      <c r="B127" s="5" t="s">
        <v>286</v>
      </c>
      <c r="C127" s="5" t="s">
        <v>218</v>
      </c>
      <c r="D127" s="5" t="s">
        <v>112</v>
      </c>
      <c r="E127" s="5" t="s">
        <v>21</v>
      </c>
      <c r="F127" s="5" t="s">
        <v>31</v>
      </c>
      <c r="G127" s="5" t="s">
        <v>23</v>
      </c>
      <c r="H127" s="6" t="n">
        <v>27</v>
      </c>
      <c r="I127" s="7" t="n">
        <v>0.3</v>
      </c>
      <c r="J127" s="8" t="n">
        <v>33500</v>
      </c>
      <c r="K127" s="9" t="n">
        <v>5.2</v>
      </c>
      <c r="L127" s="10" t="n">
        <v>3</v>
      </c>
      <c r="M127" s="6" t="n">
        <v>30</v>
      </c>
      <c r="N127" s="6"/>
      <c r="O127" s="4" t="s">
        <v>24</v>
      </c>
      <c r="P127" s="4" t="s">
        <v>245</v>
      </c>
    </row>
    <row r="128" customFormat="false" ht="15.75" hidden="false" customHeight="true" outlineLevel="0" collapsed="false">
      <c r="A128" s="11" t="s">
        <v>287</v>
      </c>
      <c r="B128" s="12" t="s">
        <v>288</v>
      </c>
      <c r="C128" s="12" t="s">
        <v>218</v>
      </c>
      <c r="D128" s="12" t="s">
        <v>112</v>
      </c>
      <c r="E128" s="12" t="s">
        <v>21</v>
      </c>
      <c r="F128" s="12" t="s">
        <v>46</v>
      </c>
      <c r="G128" s="12" t="s">
        <v>32</v>
      </c>
      <c r="H128" s="13" t="n">
        <v>28</v>
      </c>
      <c r="I128" s="14" t="n">
        <v>0.5</v>
      </c>
      <c r="J128" s="15" t="n">
        <v>33000</v>
      </c>
      <c r="K128" s="16" t="n">
        <v>5.8</v>
      </c>
      <c r="L128" s="10" t="n">
        <v>3</v>
      </c>
      <c r="M128" s="13" t="n">
        <v>37</v>
      </c>
      <c r="N128" s="13"/>
      <c r="O128" s="11" t="s">
        <v>24</v>
      </c>
      <c r="P128" s="11" t="s">
        <v>245</v>
      </c>
    </row>
    <row r="129" customFormat="false" ht="15.75" hidden="false" customHeight="true" outlineLevel="0" collapsed="false">
      <c r="A129" s="4" t="s">
        <v>289</v>
      </c>
      <c r="B129" s="5" t="s">
        <v>290</v>
      </c>
      <c r="C129" s="5" t="s">
        <v>218</v>
      </c>
      <c r="D129" s="5" t="s">
        <v>112</v>
      </c>
      <c r="E129" s="5" t="s">
        <v>21</v>
      </c>
      <c r="F129" s="5" t="s">
        <v>22</v>
      </c>
      <c r="G129" s="5" t="s">
        <v>23</v>
      </c>
      <c r="H129" s="6" t="n">
        <v>23</v>
      </c>
      <c r="I129" s="7" t="n">
        <v>1</v>
      </c>
      <c r="J129" s="8" t="n">
        <v>34500</v>
      </c>
      <c r="K129" s="9" t="n">
        <v>6.4</v>
      </c>
      <c r="L129" s="10" t="n">
        <v>3</v>
      </c>
      <c r="M129" s="6" t="n">
        <v>27</v>
      </c>
      <c r="N129" s="6"/>
      <c r="O129" s="4" t="s">
        <v>24</v>
      </c>
      <c r="P129" s="4" t="s">
        <v>245</v>
      </c>
    </row>
    <row r="130" customFormat="false" ht="15.75" hidden="false" customHeight="true" outlineLevel="0" collapsed="false">
      <c r="A130" s="11" t="s">
        <v>291</v>
      </c>
      <c r="B130" s="12" t="s">
        <v>292</v>
      </c>
      <c r="C130" s="12" t="s">
        <v>218</v>
      </c>
      <c r="D130" s="12" t="s">
        <v>112</v>
      </c>
      <c r="E130" s="12" t="s">
        <v>21</v>
      </c>
      <c r="F130" s="12" t="s">
        <v>46</v>
      </c>
      <c r="G130" s="12" t="s">
        <v>23</v>
      </c>
      <c r="H130" s="13" t="n">
        <v>24</v>
      </c>
      <c r="I130" s="14" t="n">
        <v>0.7</v>
      </c>
      <c r="J130" s="15" t="n">
        <v>35500</v>
      </c>
      <c r="K130" s="16" t="n">
        <v>4</v>
      </c>
      <c r="L130" s="10" t="n">
        <v>3</v>
      </c>
      <c r="M130" s="13" t="n">
        <v>30</v>
      </c>
      <c r="N130" s="13"/>
      <c r="O130" s="11" t="s">
        <v>24</v>
      </c>
      <c r="P130" s="11" t="s">
        <v>245</v>
      </c>
    </row>
    <row r="131" customFormat="false" ht="15.75" hidden="false" customHeight="true" outlineLevel="0" collapsed="false">
      <c r="A131" s="4" t="s">
        <v>293</v>
      </c>
      <c r="B131" s="5" t="s">
        <v>294</v>
      </c>
      <c r="C131" s="5" t="s">
        <v>295</v>
      </c>
      <c r="D131" s="5" t="s">
        <v>20</v>
      </c>
      <c r="E131" s="5" t="s">
        <v>21</v>
      </c>
      <c r="F131" s="5" t="s">
        <v>22</v>
      </c>
      <c r="G131" s="5" t="s">
        <v>23</v>
      </c>
      <c r="H131" s="6" t="n">
        <v>42</v>
      </c>
      <c r="I131" s="7" t="n">
        <v>12.7</v>
      </c>
      <c r="J131" s="8" t="n">
        <v>126000</v>
      </c>
      <c r="K131" s="9" t="n">
        <v>16.3</v>
      </c>
      <c r="L131" s="26" t="n">
        <v>2</v>
      </c>
      <c r="M131" s="6" t="n">
        <v>8</v>
      </c>
      <c r="N131" s="6" t="n">
        <v>2020</v>
      </c>
      <c r="O131" s="4" t="s">
        <v>24</v>
      </c>
      <c r="P131" s="4" t="s">
        <v>25</v>
      </c>
    </row>
    <row r="132" customFormat="false" ht="15.75" hidden="false" customHeight="true" outlineLevel="0" collapsed="false">
      <c r="A132" s="11" t="s">
        <v>296</v>
      </c>
      <c r="B132" s="12" t="s">
        <v>297</v>
      </c>
      <c r="C132" s="12" t="s">
        <v>295</v>
      </c>
      <c r="D132" s="12" t="s">
        <v>35</v>
      </c>
      <c r="E132" s="12" t="s">
        <v>58</v>
      </c>
      <c r="F132" s="12" t="s">
        <v>22</v>
      </c>
      <c r="G132" s="12" t="s">
        <v>32</v>
      </c>
      <c r="H132" s="13" t="n">
        <v>42</v>
      </c>
      <c r="I132" s="14" t="n">
        <v>8.5</v>
      </c>
      <c r="J132" s="15" t="n">
        <v>96000</v>
      </c>
      <c r="K132" s="16" t="n">
        <v>15.2</v>
      </c>
      <c r="L132" s="23" t="n">
        <v>4</v>
      </c>
      <c r="M132" s="13" t="n">
        <v>17</v>
      </c>
      <c r="N132" s="13" t="n">
        <v>2023</v>
      </c>
      <c r="O132" s="11" t="s">
        <v>24</v>
      </c>
      <c r="P132" s="11" t="s">
        <v>293</v>
      </c>
    </row>
    <row r="133" customFormat="false" ht="15.75" hidden="false" customHeight="true" outlineLevel="0" collapsed="false">
      <c r="A133" s="4" t="s">
        <v>298</v>
      </c>
      <c r="B133" s="5" t="s">
        <v>299</v>
      </c>
      <c r="C133" s="5" t="s">
        <v>295</v>
      </c>
      <c r="D133" s="5" t="s">
        <v>35</v>
      </c>
      <c r="E133" s="5" t="s">
        <v>38</v>
      </c>
      <c r="F133" s="5" t="s">
        <v>22</v>
      </c>
      <c r="G133" s="5" t="s">
        <v>23</v>
      </c>
      <c r="H133" s="6" t="n">
        <v>42</v>
      </c>
      <c r="I133" s="7" t="n">
        <v>10.9</v>
      </c>
      <c r="J133" s="8" t="n">
        <v>107500</v>
      </c>
      <c r="K133" s="9" t="n">
        <v>18.6</v>
      </c>
      <c r="L133" s="23" t="n">
        <v>4</v>
      </c>
      <c r="M133" s="6" t="n">
        <v>29</v>
      </c>
      <c r="N133" s="6" t="n">
        <v>2023</v>
      </c>
      <c r="O133" s="4" t="s">
        <v>24</v>
      </c>
      <c r="P133" s="4" t="s">
        <v>293</v>
      </c>
    </row>
    <row r="134" customFormat="false" ht="15.75" hidden="false" customHeight="true" outlineLevel="0" collapsed="false">
      <c r="A134" s="11" t="s">
        <v>300</v>
      </c>
      <c r="B134" s="12" t="s">
        <v>301</v>
      </c>
      <c r="C134" s="12" t="s">
        <v>295</v>
      </c>
      <c r="D134" s="12" t="s">
        <v>35</v>
      </c>
      <c r="E134" s="12" t="s">
        <v>21</v>
      </c>
      <c r="F134" s="12" t="s">
        <v>31</v>
      </c>
      <c r="G134" s="12" t="s">
        <v>23</v>
      </c>
      <c r="H134" s="13" t="n">
        <v>34</v>
      </c>
      <c r="I134" s="14" t="n">
        <v>9.8</v>
      </c>
      <c r="J134" s="15" t="n">
        <v>111500</v>
      </c>
      <c r="K134" s="16" t="n">
        <v>20.2</v>
      </c>
      <c r="L134" s="24" t="n">
        <v>5</v>
      </c>
      <c r="M134" s="13" t="n">
        <v>27</v>
      </c>
      <c r="N134" s="13" t="n">
        <v>2024</v>
      </c>
      <c r="O134" s="11" t="s">
        <v>24</v>
      </c>
      <c r="P134" s="11" t="s">
        <v>293</v>
      </c>
    </row>
    <row r="135" customFormat="false" ht="15.75" hidden="false" customHeight="true" outlineLevel="0" collapsed="false">
      <c r="A135" s="4" t="s">
        <v>302</v>
      </c>
      <c r="B135" s="5" t="s">
        <v>303</v>
      </c>
      <c r="C135" s="5" t="s">
        <v>295</v>
      </c>
      <c r="D135" s="5" t="s">
        <v>53</v>
      </c>
      <c r="E135" s="5" t="s">
        <v>21</v>
      </c>
      <c r="F135" s="5" t="s">
        <v>46</v>
      </c>
      <c r="G135" s="5" t="s">
        <v>23</v>
      </c>
      <c r="H135" s="6" t="n">
        <v>31</v>
      </c>
      <c r="I135" s="7" t="n">
        <v>7.1</v>
      </c>
      <c r="J135" s="8" t="n">
        <v>87000</v>
      </c>
      <c r="K135" s="9" t="n">
        <v>13.5</v>
      </c>
      <c r="L135" s="23" t="n">
        <v>4</v>
      </c>
      <c r="M135" s="6" t="n">
        <v>8</v>
      </c>
      <c r="N135" s="6" t="n">
        <v>2022</v>
      </c>
      <c r="O135" s="4" t="s">
        <v>24</v>
      </c>
      <c r="P135" s="4" t="s">
        <v>296</v>
      </c>
    </row>
    <row r="136" customFormat="false" ht="15.75" hidden="false" customHeight="true" outlineLevel="0" collapsed="false">
      <c r="A136" s="11" t="s">
        <v>304</v>
      </c>
      <c r="B136" s="12" t="s">
        <v>305</v>
      </c>
      <c r="C136" s="12" t="s">
        <v>295</v>
      </c>
      <c r="D136" s="12" t="s">
        <v>53</v>
      </c>
      <c r="E136" s="12" t="s">
        <v>58</v>
      </c>
      <c r="F136" s="12" t="s">
        <v>22</v>
      </c>
      <c r="G136" s="12" t="s">
        <v>23</v>
      </c>
      <c r="H136" s="13" t="n">
        <v>34</v>
      </c>
      <c r="I136" s="14" t="n">
        <v>4.9</v>
      </c>
      <c r="J136" s="15" t="n">
        <v>78500</v>
      </c>
      <c r="K136" s="16" t="n">
        <v>12.7</v>
      </c>
      <c r="L136" s="23" t="n">
        <v>4</v>
      </c>
      <c r="M136" s="13" t="n">
        <v>7</v>
      </c>
      <c r="N136" s="13" t="n">
        <v>2022</v>
      </c>
      <c r="O136" s="11" t="s">
        <v>24</v>
      </c>
      <c r="P136" s="11" t="s">
        <v>296</v>
      </c>
    </row>
    <row r="137" customFormat="false" ht="15.75" hidden="false" customHeight="true" outlineLevel="0" collapsed="false">
      <c r="A137" s="4" t="s">
        <v>306</v>
      </c>
      <c r="B137" s="5" t="s">
        <v>307</v>
      </c>
      <c r="C137" s="5" t="s">
        <v>295</v>
      </c>
      <c r="D137" s="5" t="s">
        <v>53</v>
      </c>
      <c r="E137" s="5" t="s">
        <v>21</v>
      </c>
      <c r="F137" s="5" t="s">
        <v>22</v>
      </c>
      <c r="G137" s="5" t="s">
        <v>23</v>
      </c>
      <c r="H137" s="6" t="n">
        <v>31</v>
      </c>
      <c r="I137" s="7" t="n">
        <v>7.1</v>
      </c>
      <c r="J137" s="8" t="n">
        <v>66500</v>
      </c>
      <c r="K137" s="9" t="n">
        <v>10.5</v>
      </c>
      <c r="L137" s="26" t="n">
        <v>2</v>
      </c>
      <c r="M137" s="6" t="n">
        <v>16</v>
      </c>
      <c r="N137" s="6" t="n">
        <v>2022</v>
      </c>
      <c r="O137" s="4" t="s">
        <v>24</v>
      </c>
      <c r="P137" s="4" t="s">
        <v>296</v>
      </c>
    </row>
    <row r="138" customFormat="false" ht="15.75" hidden="false" customHeight="true" outlineLevel="0" collapsed="false">
      <c r="A138" s="11" t="s">
        <v>308</v>
      </c>
      <c r="B138" s="12" t="s">
        <v>309</v>
      </c>
      <c r="C138" s="12" t="s">
        <v>295</v>
      </c>
      <c r="D138" s="12" t="s">
        <v>53</v>
      </c>
      <c r="E138" s="12" t="s">
        <v>21</v>
      </c>
      <c r="F138" s="12" t="s">
        <v>22</v>
      </c>
      <c r="G138" s="12" t="s">
        <v>23</v>
      </c>
      <c r="H138" s="13" t="n">
        <v>27</v>
      </c>
      <c r="I138" s="14" t="n">
        <v>6.8</v>
      </c>
      <c r="J138" s="15" t="n">
        <v>73000</v>
      </c>
      <c r="K138" s="16" t="n">
        <v>14.3</v>
      </c>
      <c r="L138" s="10" t="n">
        <v>3</v>
      </c>
      <c r="M138" s="13" t="n">
        <v>24</v>
      </c>
      <c r="N138" s="13" t="n">
        <v>2024</v>
      </c>
      <c r="O138" s="11" t="s">
        <v>24</v>
      </c>
      <c r="P138" s="11" t="s">
        <v>296</v>
      </c>
    </row>
    <row r="139" customFormat="false" ht="15.75" hidden="false" customHeight="true" outlineLevel="0" collapsed="false">
      <c r="A139" s="4" t="s">
        <v>310</v>
      </c>
      <c r="B139" s="5" t="s">
        <v>311</v>
      </c>
      <c r="C139" s="5" t="s">
        <v>295</v>
      </c>
      <c r="D139" s="5" t="s">
        <v>53</v>
      </c>
      <c r="E139" s="5" t="s">
        <v>58</v>
      </c>
      <c r="F139" s="5" t="s">
        <v>22</v>
      </c>
      <c r="G139" s="5" t="s">
        <v>32</v>
      </c>
      <c r="H139" s="6" t="n">
        <v>33</v>
      </c>
      <c r="I139" s="7" t="n">
        <v>4.5</v>
      </c>
      <c r="J139" s="8" t="n">
        <v>75500</v>
      </c>
      <c r="K139" s="9" t="n">
        <v>14.3</v>
      </c>
      <c r="L139" s="23" t="n">
        <v>4</v>
      </c>
      <c r="M139" s="6" t="n">
        <v>35</v>
      </c>
      <c r="N139" s="6" t="n">
        <v>2022</v>
      </c>
      <c r="O139" s="4" t="s">
        <v>24</v>
      </c>
      <c r="P139" s="4" t="s">
        <v>296</v>
      </c>
    </row>
    <row r="140" customFormat="false" ht="15.75" hidden="false" customHeight="true" outlineLevel="0" collapsed="false">
      <c r="A140" s="11" t="s">
        <v>312</v>
      </c>
      <c r="B140" s="12" t="s">
        <v>313</v>
      </c>
      <c r="C140" s="12" t="s">
        <v>295</v>
      </c>
      <c r="D140" s="12" t="s">
        <v>53</v>
      </c>
      <c r="E140" s="12" t="s">
        <v>38</v>
      </c>
      <c r="F140" s="12" t="s">
        <v>46</v>
      </c>
      <c r="G140" s="12" t="s">
        <v>23</v>
      </c>
      <c r="H140" s="13" t="n">
        <v>34</v>
      </c>
      <c r="I140" s="14" t="n">
        <v>6.6</v>
      </c>
      <c r="J140" s="15" t="n">
        <v>84000</v>
      </c>
      <c r="K140" s="16" t="n">
        <v>14.8</v>
      </c>
      <c r="L140" s="23" t="n">
        <v>4</v>
      </c>
      <c r="M140" s="13" t="n">
        <v>27</v>
      </c>
      <c r="N140" s="13" t="n">
        <v>2020</v>
      </c>
      <c r="O140" s="11" t="s">
        <v>24</v>
      </c>
      <c r="P140" s="11" t="s">
        <v>296</v>
      </c>
    </row>
    <row r="141" customFormat="false" ht="15.75" hidden="false" customHeight="true" outlineLevel="0" collapsed="false">
      <c r="A141" s="4" t="s">
        <v>314</v>
      </c>
      <c r="B141" s="5" t="s">
        <v>315</v>
      </c>
      <c r="C141" s="5" t="s">
        <v>295</v>
      </c>
      <c r="D141" s="5" t="s">
        <v>53</v>
      </c>
      <c r="E141" s="5" t="s">
        <v>58</v>
      </c>
      <c r="F141" s="5" t="s">
        <v>46</v>
      </c>
      <c r="G141" s="5" t="s">
        <v>23</v>
      </c>
      <c r="H141" s="6" t="n">
        <v>33</v>
      </c>
      <c r="I141" s="7" t="n">
        <v>5.4</v>
      </c>
      <c r="J141" s="8" t="n">
        <v>80500</v>
      </c>
      <c r="K141" s="9" t="n">
        <v>10.4</v>
      </c>
      <c r="L141" s="23" t="n">
        <v>4</v>
      </c>
      <c r="M141" s="6" t="n">
        <v>18</v>
      </c>
      <c r="N141" s="6" t="n">
        <v>2021</v>
      </c>
      <c r="O141" s="4" t="s">
        <v>24</v>
      </c>
      <c r="P141" s="4" t="s">
        <v>296</v>
      </c>
    </row>
    <row r="142" customFormat="false" ht="15.75" hidden="false" customHeight="true" outlineLevel="0" collapsed="false">
      <c r="A142" s="11" t="s">
        <v>316</v>
      </c>
      <c r="B142" s="12" t="s">
        <v>317</v>
      </c>
      <c r="C142" s="12" t="s">
        <v>295</v>
      </c>
      <c r="D142" s="12" t="s">
        <v>53</v>
      </c>
      <c r="E142" s="12" t="s">
        <v>21</v>
      </c>
      <c r="F142" s="12" t="s">
        <v>46</v>
      </c>
      <c r="G142" s="12" t="s">
        <v>32</v>
      </c>
      <c r="H142" s="13" t="n">
        <v>38</v>
      </c>
      <c r="I142" s="14" t="n">
        <v>6</v>
      </c>
      <c r="J142" s="15" t="n">
        <v>68500</v>
      </c>
      <c r="K142" s="16" t="n">
        <v>12.3</v>
      </c>
      <c r="L142" s="10" t="n">
        <v>3</v>
      </c>
      <c r="M142" s="13" t="n">
        <v>22</v>
      </c>
      <c r="N142" s="13" t="n">
        <v>2023</v>
      </c>
      <c r="O142" s="11" t="s">
        <v>24</v>
      </c>
      <c r="P142" s="11" t="s">
        <v>296</v>
      </c>
    </row>
    <row r="143" customFormat="false" ht="15.75" hidden="false" customHeight="true" outlineLevel="0" collapsed="false">
      <c r="A143" s="4" t="s">
        <v>318</v>
      </c>
      <c r="B143" s="5" t="s">
        <v>319</v>
      </c>
      <c r="C143" s="5" t="s">
        <v>295</v>
      </c>
      <c r="D143" s="5" t="s">
        <v>53</v>
      </c>
      <c r="E143" s="5" t="s">
        <v>38</v>
      </c>
      <c r="F143" s="5" t="s">
        <v>22</v>
      </c>
      <c r="G143" s="5" t="s">
        <v>32</v>
      </c>
      <c r="H143" s="6" t="n">
        <v>34</v>
      </c>
      <c r="I143" s="7" t="n">
        <v>7.4</v>
      </c>
      <c r="J143" s="8" t="n">
        <v>80000</v>
      </c>
      <c r="K143" s="9" t="n">
        <v>12.4</v>
      </c>
      <c r="L143" s="24" t="n">
        <v>5</v>
      </c>
      <c r="M143" s="6" t="n">
        <v>31</v>
      </c>
      <c r="N143" s="6" t="n">
        <v>2022</v>
      </c>
      <c r="O143" s="4" t="s">
        <v>24</v>
      </c>
      <c r="P143" s="4" t="s">
        <v>296</v>
      </c>
    </row>
    <row r="144" customFormat="false" ht="15.75" hidden="false" customHeight="true" outlineLevel="0" collapsed="false">
      <c r="A144" s="17" t="s">
        <v>320</v>
      </c>
      <c r="B144" s="18" t="s">
        <v>321</v>
      </c>
      <c r="C144" s="18" t="s">
        <v>295</v>
      </c>
      <c r="D144" s="18" t="s">
        <v>53</v>
      </c>
      <c r="E144" s="18" t="s">
        <v>38</v>
      </c>
      <c r="F144" s="18" t="s">
        <v>46</v>
      </c>
      <c r="G144" s="18" t="s">
        <v>23</v>
      </c>
      <c r="H144" s="19" t="n">
        <v>40</v>
      </c>
      <c r="I144" s="20" t="n">
        <v>0.3</v>
      </c>
      <c r="J144" s="21" t="n">
        <v>77000</v>
      </c>
      <c r="K144" s="22" t="n">
        <v>12.1</v>
      </c>
      <c r="L144" s="23" t="n">
        <v>4</v>
      </c>
      <c r="M144" s="19" t="n">
        <v>28</v>
      </c>
      <c r="N144" s="19" t="n">
        <v>2024</v>
      </c>
      <c r="O144" s="17" t="s">
        <v>39</v>
      </c>
      <c r="P144" s="17" t="s">
        <v>296</v>
      </c>
    </row>
    <row r="145" customFormat="false" ht="15.75" hidden="false" customHeight="true" outlineLevel="0" collapsed="false">
      <c r="A145" s="4" t="s">
        <v>322</v>
      </c>
      <c r="B145" s="5" t="s">
        <v>323</v>
      </c>
      <c r="C145" s="5" t="s">
        <v>295</v>
      </c>
      <c r="D145" s="5" t="s">
        <v>79</v>
      </c>
      <c r="E145" s="5" t="s">
        <v>58</v>
      </c>
      <c r="F145" s="5" t="s">
        <v>22</v>
      </c>
      <c r="G145" s="5" t="s">
        <v>32</v>
      </c>
      <c r="H145" s="6" t="n">
        <v>34</v>
      </c>
      <c r="I145" s="7" t="n">
        <v>3</v>
      </c>
      <c r="J145" s="8" t="n">
        <v>48000</v>
      </c>
      <c r="K145" s="9" t="n">
        <v>10.9</v>
      </c>
      <c r="L145" s="23" t="n">
        <v>4</v>
      </c>
      <c r="M145" s="6" t="n">
        <v>21</v>
      </c>
      <c r="N145" s="6" t="n">
        <v>2024</v>
      </c>
      <c r="O145" s="4" t="s">
        <v>24</v>
      </c>
      <c r="P145" s="4" t="s">
        <v>302</v>
      </c>
    </row>
    <row r="146" customFormat="false" ht="15.75" hidden="false" customHeight="true" outlineLevel="0" collapsed="false">
      <c r="A146" s="11" t="s">
        <v>324</v>
      </c>
      <c r="B146" s="12" t="s">
        <v>325</v>
      </c>
      <c r="C146" s="12" t="s">
        <v>295</v>
      </c>
      <c r="D146" s="12" t="s">
        <v>79</v>
      </c>
      <c r="E146" s="12" t="s">
        <v>21</v>
      </c>
      <c r="F146" s="12" t="s">
        <v>46</v>
      </c>
      <c r="G146" s="12" t="s">
        <v>23</v>
      </c>
      <c r="H146" s="13" t="n">
        <v>31</v>
      </c>
      <c r="I146" s="14" t="n">
        <v>5.2</v>
      </c>
      <c r="J146" s="15" t="n">
        <v>51000</v>
      </c>
      <c r="K146" s="16" t="n">
        <v>6.6</v>
      </c>
      <c r="L146" s="10" t="n">
        <v>3</v>
      </c>
      <c r="M146" s="13" t="n">
        <v>22</v>
      </c>
      <c r="N146" s="13" t="n">
        <v>2023</v>
      </c>
      <c r="O146" s="11" t="s">
        <v>24</v>
      </c>
      <c r="P146" s="11" t="s">
        <v>302</v>
      </c>
    </row>
    <row r="147" customFormat="false" ht="15.75" hidden="false" customHeight="true" outlineLevel="0" collapsed="false">
      <c r="A147" s="4" t="s">
        <v>326</v>
      </c>
      <c r="B147" s="5" t="s">
        <v>327</v>
      </c>
      <c r="C147" s="5" t="s">
        <v>295</v>
      </c>
      <c r="D147" s="5" t="s">
        <v>79</v>
      </c>
      <c r="E147" s="5" t="s">
        <v>21</v>
      </c>
      <c r="F147" s="5" t="s">
        <v>46</v>
      </c>
      <c r="G147" s="5" t="s">
        <v>32</v>
      </c>
      <c r="H147" s="6" t="n">
        <v>24</v>
      </c>
      <c r="I147" s="7" t="n">
        <v>2.3</v>
      </c>
      <c r="J147" s="8" t="n">
        <v>37500</v>
      </c>
      <c r="K147" s="9" t="n">
        <v>4.8</v>
      </c>
      <c r="L147" s="25" t="n">
        <v>1</v>
      </c>
      <c r="M147" s="6" t="n">
        <v>16</v>
      </c>
      <c r="N147" s="6" t="n">
        <v>2023</v>
      </c>
      <c r="O147" s="4" t="s">
        <v>24</v>
      </c>
      <c r="P147" s="4" t="s">
        <v>302</v>
      </c>
    </row>
    <row r="148" customFormat="false" ht="15.75" hidden="false" customHeight="true" outlineLevel="0" collapsed="false">
      <c r="A148" s="11" t="s">
        <v>328</v>
      </c>
      <c r="B148" s="12" t="s">
        <v>329</v>
      </c>
      <c r="C148" s="12" t="s">
        <v>295</v>
      </c>
      <c r="D148" s="12" t="s">
        <v>79</v>
      </c>
      <c r="E148" s="12" t="s">
        <v>38</v>
      </c>
      <c r="F148" s="12" t="s">
        <v>31</v>
      </c>
      <c r="G148" s="12" t="s">
        <v>23</v>
      </c>
      <c r="H148" s="13" t="n">
        <v>32</v>
      </c>
      <c r="I148" s="14" t="n">
        <v>3.3</v>
      </c>
      <c r="J148" s="15" t="n">
        <v>57500</v>
      </c>
      <c r="K148" s="16" t="n">
        <v>13.4</v>
      </c>
      <c r="L148" s="24" t="n">
        <v>5</v>
      </c>
      <c r="M148" s="13" t="n">
        <v>36</v>
      </c>
      <c r="N148" s="13" t="n">
        <v>2023</v>
      </c>
      <c r="O148" s="11" t="s">
        <v>24</v>
      </c>
      <c r="P148" s="11" t="s">
        <v>302</v>
      </c>
    </row>
    <row r="149" customFormat="false" ht="15.75" hidden="false" customHeight="true" outlineLevel="0" collapsed="false">
      <c r="A149" s="4" t="s">
        <v>330</v>
      </c>
      <c r="B149" s="5" t="s">
        <v>331</v>
      </c>
      <c r="C149" s="5" t="s">
        <v>295</v>
      </c>
      <c r="D149" s="5" t="s">
        <v>79</v>
      </c>
      <c r="E149" s="5" t="s">
        <v>58</v>
      </c>
      <c r="F149" s="5" t="s">
        <v>31</v>
      </c>
      <c r="G149" s="5" t="s">
        <v>23</v>
      </c>
      <c r="H149" s="6" t="n">
        <v>33</v>
      </c>
      <c r="I149" s="7" t="n">
        <v>5.8</v>
      </c>
      <c r="J149" s="8" t="n">
        <v>52500</v>
      </c>
      <c r="K149" s="9" t="n">
        <v>8.9</v>
      </c>
      <c r="L149" s="10" t="n">
        <v>3</v>
      </c>
      <c r="M149" s="6" t="n">
        <v>24</v>
      </c>
      <c r="N149" s="6" t="n">
        <v>2021</v>
      </c>
      <c r="O149" s="4" t="s">
        <v>24</v>
      </c>
      <c r="P149" s="4" t="s">
        <v>302</v>
      </c>
    </row>
    <row r="150" customFormat="false" ht="15.75" hidden="false" customHeight="true" outlineLevel="0" collapsed="false">
      <c r="A150" s="11" t="s">
        <v>332</v>
      </c>
      <c r="B150" s="12" t="s">
        <v>333</v>
      </c>
      <c r="C150" s="12" t="s">
        <v>295</v>
      </c>
      <c r="D150" s="12" t="s">
        <v>79</v>
      </c>
      <c r="E150" s="12" t="s">
        <v>21</v>
      </c>
      <c r="F150" s="12" t="s">
        <v>46</v>
      </c>
      <c r="G150" s="12" t="s">
        <v>32</v>
      </c>
      <c r="H150" s="13" t="n">
        <v>31</v>
      </c>
      <c r="I150" s="14" t="n">
        <v>2.8</v>
      </c>
      <c r="J150" s="15" t="n">
        <v>44500</v>
      </c>
      <c r="K150" s="16" t="n">
        <v>8.6</v>
      </c>
      <c r="L150" s="10" t="n">
        <v>3</v>
      </c>
      <c r="M150" s="13" t="n">
        <v>19</v>
      </c>
      <c r="N150" s="13" t="n">
        <v>2024</v>
      </c>
      <c r="O150" s="11" t="s">
        <v>24</v>
      </c>
      <c r="P150" s="11" t="s">
        <v>302</v>
      </c>
    </row>
    <row r="151" customFormat="false" ht="15.75" hidden="false" customHeight="true" outlineLevel="0" collapsed="false">
      <c r="A151" s="4" t="s">
        <v>334</v>
      </c>
      <c r="B151" s="5" t="s">
        <v>335</v>
      </c>
      <c r="C151" s="5" t="s">
        <v>295</v>
      </c>
      <c r="D151" s="5" t="s">
        <v>79</v>
      </c>
      <c r="E151" s="5" t="s">
        <v>21</v>
      </c>
      <c r="F151" s="5" t="s">
        <v>46</v>
      </c>
      <c r="G151" s="5" t="s">
        <v>32</v>
      </c>
      <c r="H151" s="6" t="n">
        <v>26</v>
      </c>
      <c r="I151" s="7" t="n">
        <v>3</v>
      </c>
      <c r="J151" s="8" t="n">
        <v>54000</v>
      </c>
      <c r="K151" s="9" t="n">
        <v>8.9</v>
      </c>
      <c r="L151" s="24" t="n">
        <v>5</v>
      </c>
      <c r="M151" s="6" t="n">
        <v>29</v>
      </c>
      <c r="N151" s="6" t="n">
        <v>2023</v>
      </c>
      <c r="O151" s="4" t="s">
        <v>24</v>
      </c>
      <c r="P151" s="4" t="s">
        <v>302</v>
      </c>
    </row>
    <row r="152" customFormat="false" ht="15.75" hidden="false" customHeight="true" outlineLevel="0" collapsed="false">
      <c r="A152" s="17" t="s">
        <v>336</v>
      </c>
      <c r="B152" s="18" t="s">
        <v>337</v>
      </c>
      <c r="C152" s="18" t="s">
        <v>295</v>
      </c>
      <c r="D152" s="18" t="s">
        <v>79</v>
      </c>
      <c r="E152" s="18" t="s">
        <v>21</v>
      </c>
      <c r="F152" s="18" t="s">
        <v>46</v>
      </c>
      <c r="G152" s="18" t="s">
        <v>23</v>
      </c>
      <c r="H152" s="19" t="n">
        <v>27</v>
      </c>
      <c r="I152" s="20" t="n">
        <v>4.4</v>
      </c>
      <c r="J152" s="21" t="n">
        <v>55500</v>
      </c>
      <c r="K152" s="22" t="n">
        <v>10.5</v>
      </c>
      <c r="L152" s="23" t="n">
        <v>4</v>
      </c>
      <c r="M152" s="19" t="n">
        <v>15</v>
      </c>
      <c r="N152" s="19" t="n">
        <v>2022</v>
      </c>
      <c r="O152" s="17" t="s">
        <v>39</v>
      </c>
      <c r="P152" s="17" t="s">
        <v>302</v>
      </c>
    </row>
    <row r="153" customFormat="false" ht="15.75" hidden="false" customHeight="true" outlineLevel="0" collapsed="false">
      <c r="A153" s="4" t="s">
        <v>338</v>
      </c>
      <c r="B153" s="5" t="s">
        <v>339</v>
      </c>
      <c r="C153" s="5" t="s">
        <v>295</v>
      </c>
      <c r="D153" s="5" t="s">
        <v>79</v>
      </c>
      <c r="E153" s="5" t="s">
        <v>38</v>
      </c>
      <c r="F153" s="5" t="s">
        <v>46</v>
      </c>
      <c r="G153" s="5" t="s">
        <v>23</v>
      </c>
      <c r="H153" s="6" t="n">
        <v>31</v>
      </c>
      <c r="I153" s="7" t="n">
        <v>2.6</v>
      </c>
      <c r="J153" s="8" t="n">
        <v>43500</v>
      </c>
      <c r="K153" s="9" t="n">
        <v>8.2</v>
      </c>
      <c r="L153" s="26" t="n">
        <v>2</v>
      </c>
      <c r="M153" s="6" t="n">
        <v>9</v>
      </c>
      <c r="N153" s="6" t="n">
        <v>2023</v>
      </c>
      <c r="O153" s="4" t="s">
        <v>24</v>
      </c>
      <c r="P153" s="4" t="s">
        <v>302</v>
      </c>
    </row>
    <row r="154" customFormat="false" ht="15.75" hidden="false" customHeight="true" outlineLevel="0" collapsed="false">
      <c r="A154" s="11" t="s">
        <v>340</v>
      </c>
      <c r="B154" s="12" t="s">
        <v>341</v>
      </c>
      <c r="C154" s="12" t="s">
        <v>295</v>
      </c>
      <c r="D154" s="12" t="s">
        <v>79</v>
      </c>
      <c r="E154" s="12" t="s">
        <v>58</v>
      </c>
      <c r="F154" s="12" t="s">
        <v>46</v>
      </c>
      <c r="G154" s="12" t="s">
        <v>23</v>
      </c>
      <c r="H154" s="13" t="n">
        <v>28</v>
      </c>
      <c r="I154" s="14" t="n">
        <v>4</v>
      </c>
      <c r="J154" s="15" t="n">
        <v>50000</v>
      </c>
      <c r="K154" s="16" t="n">
        <v>9.2</v>
      </c>
      <c r="L154" s="10" t="n">
        <v>3</v>
      </c>
      <c r="M154" s="13" t="n">
        <v>22</v>
      </c>
      <c r="N154" s="13" t="n">
        <v>2024</v>
      </c>
      <c r="O154" s="11" t="s">
        <v>24</v>
      </c>
      <c r="P154" s="11" t="s">
        <v>302</v>
      </c>
    </row>
    <row r="155" customFormat="false" ht="15.75" hidden="false" customHeight="true" outlineLevel="0" collapsed="false">
      <c r="A155" s="4" t="s">
        <v>342</v>
      </c>
      <c r="B155" s="5" t="s">
        <v>343</v>
      </c>
      <c r="C155" s="5" t="s">
        <v>295</v>
      </c>
      <c r="D155" s="5" t="s">
        <v>79</v>
      </c>
      <c r="E155" s="5" t="s">
        <v>21</v>
      </c>
      <c r="F155" s="5" t="s">
        <v>46</v>
      </c>
      <c r="G155" s="5" t="s">
        <v>23</v>
      </c>
      <c r="H155" s="6" t="n">
        <v>28</v>
      </c>
      <c r="I155" s="7" t="n">
        <v>1.6</v>
      </c>
      <c r="J155" s="8" t="n">
        <v>57500</v>
      </c>
      <c r="K155" s="9" t="n">
        <v>10.6</v>
      </c>
      <c r="L155" s="24" t="n">
        <v>5</v>
      </c>
      <c r="M155" s="6" t="n">
        <v>16</v>
      </c>
      <c r="N155" s="6" t="n">
        <v>2024</v>
      </c>
      <c r="O155" s="4" t="s">
        <v>24</v>
      </c>
      <c r="P155" s="4" t="s">
        <v>302</v>
      </c>
    </row>
    <row r="156" customFormat="false" ht="15.75" hidden="false" customHeight="true" outlineLevel="0" collapsed="false">
      <c r="A156" s="11" t="s">
        <v>344</v>
      </c>
      <c r="B156" s="12" t="s">
        <v>345</v>
      </c>
      <c r="C156" s="12" t="s">
        <v>295</v>
      </c>
      <c r="D156" s="12" t="s">
        <v>79</v>
      </c>
      <c r="E156" s="12" t="s">
        <v>58</v>
      </c>
      <c r="F156" s="12" t="s">
        <v>22</v>
      </c>
      <c r="G156" s="12" t="s">
        <v>23</v>
      </c>
      <c r="H156" s="13" t="n">
        <v>29</v>
      </c>
      <c r="I156" s="14" t="n">
        <v>4.2</v>
      </c>
      <c r="J156" s="15" t="n">
        <v>51000</v>
      </c>
      <c r="K156" s="16" t="n">
        <v>7.8</v>
      </c>
      <c r="L156" s="10" t="n">
        <v>3</v>
      </c>
      <c r="M156" s="13" t="n">
        <v>25</v>
      </c>
      <c r="N156" s="13" t="n">
        <v>2021</v>
      </c>
      <c r="O156" s="11" t="s">
        <v>24</v>
      </c>
      <c r="P156" s="11" t="s">
        <v>302</v>
      </c>
    </row>
    <row r="157" customFormat="false" ht="15.75" hidden="false" customHeight="true" outlineLevel="0" collapsed="false">
      <c r="A157" s="4" t="s">
        <v>346</v>
      </c>
      <c r="B157" s="5" t="s">
        <v>347</v>
      </c>
      <c r="C157" s="5" t="s">
        <v>295</v>
      </c>
      <c r="D157" s="5" t="s">
        <v>79</v>
      </c>
      <c r="E157" s="5" t="s">
        <v>38</v>
      </c>
      <c r="F157" s="5" t="s">
        <v>22</v>
      </c>
      <c r="G157" s="5" t="s">
        <v>32</v>
      </c>
      <c r="H157" s="6" t="n">
        <v>31</v>
      </c>
      <c r="I157" s="7" t="n">
        <v>4</v>
      </c>
      <c r="J157" s="8" t="n">
        <v>46500</v>
      </c>
      <c r="K157" s="9" t="n">
        <v>7</v>
      </c>
      <c r="L157" s="10" t="n">
        <v>3</v>
      </c>
      <c r="M157" s="6" t="n">
        <v>14</v>
      </c>
      <c r="N157" s="6" t="n">
        <v>2023</v>
      </c>
      <c r="O157" s="4" t="s">
        <v>24</v>
      </c>
      <c r="P157" s="4" t="s">
        <v>302</v>
      </c>
    </row>
    <row r="158" customFormat="false" ht="15.75" hidden="false" customHeight="true" outlineLevel="0" collapsed="false">
      <c r="A158" s="11" t="s">
        <v>348</v>
      </c>
      <c r="B158" s="12" t="s">
        <v>349</v>
      </c>
      <c r="C158" s="12" t="s">
        <v>295</v>
      </c>
      <c r="D158" s="12" t="s">
        <v>79</v>
      </c>
      <c r="E158" s="12" t="s">
        <v>58</v>
      </c>
      <c r="F158" s="12" t="s">
        <v>22</v>
      </c>
      <c r="G158" s="12" t="s">
        <v>32</v>
      </c>
      <c r="H158" s="13" t="n">
        <v>27</v>
      </c>
      <c r="I158" s="14" t="n">
        <v>1.7</v>
      </c>
      <c r="J158" s="15" t="n">
        <v>38000</v>
      </c>
      <c r="K158" s="16" t="n">
        <v>5</v>
      </c>
      <c r="L158" s="25" t="n">
        <v>1</v>
      </c>
      <c r="M158" s="13" t="n">
        <v>23</v>
      </c>
      <c r="N158" s="13" t="n">
        <v>2024</v>
      </c>
      <c r="O158" s="11" t="s">
        <v>24</v>
      </c>
      <c r="P158" s="11" t="s">
        <v>302</v>
      </c>
    </row>
    <row r="159" customFormat="false" ht="15.75" hidden="false" customHeight="true" outlineLevel="0" collapsed="false">
      <c r="A159" s="4" t="s">
        <v>350</v>
      </c>
      <c r="B159" s="5" t="s">
        <v>351</v>
      </c>
      <c r="C159" s="5" t="s">
        <v>295</v>
      </c>
      <c r="D159" s="5" t="s">
        <v>79</v>
      </c>
      <c r="E159" s="5" t="s">
        <v>21</v>
      </c>
      <c r="F159" s="5" t="s">
        <v>22</v>
      </c>
      <c r="G159" s="5" t="s">
        <v>23</v>
      </c>
      <c r="H159" s="6" t="n">
        <v>30</v>
      </c>
      <c r="I159" s="7" t="n">
        <v>3.5</v>
      </c>
      <c r="J159" s="8" t="n">
        <v>55000</v>
      </c>
      <c r="K159" s="9" t="n">
        <v>8.4</v>
      </c>
      <c r="L159" s="23" t="n">
        <v>4</v>
      </c>
      <c r="M159" s="6" t="n">
        <v>30</v>
      </c>
      <c r="N159" s="6" t="n">
        <v>2024</v>
      </c>
      <c r="O159" s="4" t="s">
        <v>24</v>
      </c>
      <c r="P159" s="4" t="s">
        <v>302</v>
      </c>
    </row>
    <row r="160" customFormat="false" ht="15.75" hidden="false" customHeight="true" outlineLevel="0" collapsed="false">
      <c r="A160" s="11" t="s">
        <v>352</v>
      </c>
      <c r="B160" s="12" t="s">
        <v>353</v>
      </c>
      <c r="C160" s="12" t="s">
        <v>295</v>
      </c>
      <c r="D160" s="12" t="s">
        <v>79</v>
      </c>
      <c r="E160" s="12" t="s">
        <v>38</v>
      </c>
      <c r="F160" s="12" t="s">
        <v>31</v>
      </c>
      <c r="G160" s="12" t="s">
        <v>32</v>
      </c>
      <c r="H160" s="13" t="n">
        <v>31</v>
      </c>
      <c r="I160" s="14" t="n">
        <v>2</v>
      </c>
      <c r="J160" s="15" t="n">
        <v>44500</v>
      </c>
      <c r="K160" s="16" t="n">
        <v>9.6</v>
      </c>
      <c r="L160" s="10" t="n">
        <v>3</v>
      </c>
      <c r="M160" s="13" t="n">
        <v>18</v>
      </c>
      <c r="N160" s="13" t="n">
        <v>2024</v>
      </c>
      <c r="O160" s="11" t="s">
        <v>24</v>
      </c>
      <c r="P160" s="11" t="s">
        <v>302</v>
      </c>
    </row>
    <row r="161" customFormat="false" ht="15.75" hidden="false" customHeight="true" outlineLevel="0" collapsed="false">
      <c r="A161" s="4" t="s">
        <v>354</v>
      </c>
      <c r="B161" s="5" t="s">
        <v>355</v>
      </c>
      <c r="C161" s="5" t="s">
        <v>295</v>
      </c>
      <c r="D161" s="5" t="s">
        <v>79</v>
      </c>
      <c r="E161" s="5" t="s">
        <v>58</v>
      </c>
      <c r="F161" s="5" t="s">
        <v>46</v>
      </c>
      <c r="G161" s="5" t="s">
        <v>23</v>
      </c>
      <c r="H161" s="6" t="n">
        <v>25</v>
      </c>
      <c r="I161" s="7" t="n">
        <v>4.1</v>
      </c>
      <c r="J161" s="8" t="n">
        <v>51000</v>
      </c>
      <c r="K161" s="9" t="n">
        <v>6.6</v>
      </c>
      <c r="L161" s="10" t="n">
        <v>3</v>
      </c>
      <c r="M161" s="6" t="n">
        <v>19</v>
      </c>
      <c r="N161" s="6" t="n">
        <v>2024</v>
      </c>
      <c r="O161" s="4" t="s">
        <v>24</v>
      </c>
      <c r="P161" s="4" t="s">
        <v>302</v>
      </c>
    </row>
    <row r="162" customFormat="false" ht="15.75" hidden="false" customHeight="true" outlineLevel="0" collapsed="false">
      <c r="A162" s="11" t="s">
        <v>356</v>
      </c>
      <c r="B162" s="12" t="s">
        <v>357</v>
      </c>
      <c r="C162" s="12" t="s">
        <v>295</v>
      </c>
      <c r="D162" s="12" t="s">
        <v>112</v>
      </c>
      <c r="E162" s="12" t="s">
        <v>58</v>
      </c>
      <c r="F162" s="12" t="s">
        <v>31</v>
      </c>
      <c r="G162" s="12" t="s">
        <v>23</v>
      </c>
      <c r="H162" s="13" t="n">
        <v>24</v>
      </c>
      <c r="I162" s="14" t="n">
        <v>0.8</v>
      </c>
      <c r="J162" s="15" t="n">
        <v>35500</v>
      </c>
      <c r="K162" s="16" t="n">
        <v>7.1</v>
      </c>
      <c r="L162" s="23" t="n">
        <v>4</v>
      </c>
      <c r="M162" s="13" t="n">
        <v>33</v>
      </c>
      <c r="N162" s="13"/>
      <c r="O162" s="11" t="s">
        <v>24</v>
      </c>
      <c r="P162" s="11" t="s">
        <v>322</v>
      </c>
    </row>
    <row r="163" customFormat="false" ht="15.75" hidden="false" customHeight="true" outlineLevel="0" collapsed="false">
      <c r="A163" s="4" t="s">
        <v>358</v>
      </c>
      <c r="B163" s="5" t="s">
        <v>359</v>
      </c>
      <c r="C163" s="5" t="s">
        <v>295</v>
      </c>
      <c r="D163" s="5" t="s">
        <v>112</v>
      </c>
      <c r="E163" s="5" t="s">
        <v>21</v>
      </c>
      <c r="F163" s="5" t="s">
        <v>46</v>
      </c>
      <c r="G163" s="5" t="s">
        <v>23</v>
      </c>
      <c r="H163" s="6" t="n">
        <v>28</v>
      </c>
      <c r="I163" s="7" t="n">
        <v>1.6</v>
      </c>
      <c r="J163" s="8" t="n">
        <v>34000</v>
      </c>
      <c r="K163" s="9" t="n">
        <v>5.7</v>
      </c>
      <c r="L163" s="10" t="n">
        <v>3</v>
      </c>
      <c r="M163" s="6" t="n">
        <v>27</v>
      </c>
      <c r="N163" s="6"/>
      <c r="O163" s="4" t="s">
        <v>24</v>
      </c>
      <c r="P163" s="4" t="s">
        <v>322</v>
      </c>
    </row>
    <row r="164" customFormat="false" ht="15.75" hidden="false" customHeight="true" outlineLevel="0" collapsed="false">
      <c r="A164" s="11" t="s">
        <v>360</v>
      </c>
      <c r="B164" s="12" t="s">
        <v>361</v>
      </c>
      <c r="C164" s="12" t="s">
        <v>295</v>
      </c>
      <c r="D164" s="12" t="s">
        <v>112</v>
      </c>
      <c r="E164" s="12" t="s">
        <v>21</v>
      </c>
      <c r="F164" s="12" t="s">
        <v>22</v>
      </c>
      <c r="G164" s="12" t="s">
        <v>23</v>
      </c>
      <c r="H164" s="13" t="n">
        <v>25</v>
      </c>
      <c r="I164" s="14" t="n">
        <v>2.8</v>
      </c>
      <c r="J164" s="15" t="n">
        <v>34500</v>
      </c>
      <c r="K164" s="16" t="n">
        <v>6.1</v>
      </c>
      <c r="L164" s="10" t="n">
        <v>3</v>
      </c>
      <c r="M164" s="13" t="n">
        <v>21</v>
      </c>
      <c r="N164" s="13"/>
      <c r="O164" s="11" t="s">
        <v>24</v>
      </c>
      <c r="P164" s="11" t="s">
        <v>322</v>
      </c>
    </row>
    <row r="165" customFormat="false" ht="15.75" hidden="false" customHeight="true" outlineLevel="0" collapsed="false">
      <c r="A165" s="4" t="s">
        <v>362</v>
      </c>
      <c r="B165" s="5" t="s">
        <v>363</v>
      </c>
      <c r="C165" s="5" t="s">
        <v>295</v>
      </c>
      <c r="D165" s="5" t="s">
        <v>112</v>
      </c>
      <c r="E165" s="5" t="s">
        <v>21</v>
      </c>
      <c r="F165" s="5" t="s">
        <v>22</v>
      </c>
      <c r="G165" s="5" t="s">
        <v>23</v>
      </c>
      <c r="H165" s="6" t="n">
        <v>28</v>
      </c>
      <c r="I165" s="7" t="n">
        <v>1.7</v>
      </c>
      <c r="J165" s="8" t="n">
        <v>33000</v>
      </c>
      <c r="K165" s="9" t="n">
        <v>4.2</v>
      </c>
      <c r="L165" s="10" t="n">
        <v>3</v>
      </c>
      <c r="M165" s="6" t="n">
        <v>21</v>
      </c>
      <c r="N165" s="6"/>
      <c r="O165" s="4" t="s">
        <v>24</v>
      </c>
      <c r="P165" s="4" t="s">
        <v>322</v>
      </c>
    </row>
    <row r="166" customFormat="false" ht="15.75" hidden="false" customHeight="true" outlineLevel="0" collapsed="false">
      <c r="A166" s="17" t="s">
        <v>364</v>
      </c>
      <c r="B166" s="18" t="s">
        <v>365</v>
      </c>
      <c r="C166" s="18" t="s">
        <v>295</v>
      </c>
      <c r="D166" s="18" t="s">
        <v>112</v>
      </c>
      <c r="E166" s="18" t="s">
        <v>21</v>
      </c>
      <c r="F166" s="18" t="s">
        <v>31</v>
      </c>
      <c r="G166" s="18" t="s">
        <v>23</v>
      </c>
      <c r="H166" s="19" t="n">
        <v>22</v>
      </c>
      <c r="I166" s="20" t="n">
        <v>0.3</v>
      </c>
      <c r="J166" s="21" t="n">
        <v>35000</v>
      </c>
      <c r="K166" s="22" t="n">
        <v>3.5</v>
      </c>
      <c r="L166" s="23" t="n">
        <v>4</v>
      </c>
      <c r="M166" s="19" t="n">
        <v>34</v>
      </c>
      <c r="N166" s="19"/>
      <c r="O166" s="17" t="s">
        <v>39</v>
      </c>
      <c r="P166" s="17" t="s">
        <v>322</v>
      </c>
    </row>
    <row r="167" customFormat="false" ht="15.75" hidden="false" customHeight="true" outlineLevel="0" collapsed="false">
      <c r="A167" s="4" t="s">
        <v>366</v>
      </c>
      <c r="B167" s="5" t="s">
        <v>367</v>
      </c>
      <c r="C167" s="5" t="s">
        <v>295</v>
      </c>
      <c r="D167" s="5" t="s">
        <v>112</v>
      </c>
      <c r="E167" s="5" t="s">
        <v>21</v>
      </c>
      <c r="F167" s="5" t="s">
        <v>31</v>
      </c>
      <c r="G167" s="5" t="s">
        <v>23</v>
      </c>
      <c r="H167" s="6" t="n">
        <v>27</v>
      </c>
      <c r="I167" s="7" t="n">
        <v>1.4</v>
      </c>
      <c r="J167" s="8" t="n">
        <v>33000</v>
      </c>
      <c r="K167" s="9" t="n">
        <v>5.4</v>
      </c>
      <c r="L167" s="10" t="n">
        <v>3</v>
      </c>
      <c r="M167" s="6" t="n">
        <v>29</v>
      </c>
      <c r="N167" s="6"/>
      <c r="O167" s="4" t="s">
        <v>24</v>
      </c>
      <c r="P167" s="4" t="s">
        <v>322</v>
      </c>
    </row>
    <row r="168" customFormat="false" ht="15.75" hidden="false" customHeight="true" outlineLevel="0" collapsed="false">
      <c r="A168" s="11" t="s">
        <v>368</v>
      </c>
      <c r="B168" s="12" t="s">
        <v>369</v>
      </c>
      <c r="C168" s="12" t="s">
        <v>295</v>
      </c>
      <c r="D168" s="12" t="s">
        <v>112</v>
      </c>
      <c r="E168" s="12" t="s">
        <v>21</v>
      </c>
      <c r="F168" s="12" t="s">
        <v>22</v>
      </c>
      <c r="G168" s="12" t="s">
        <v>32</v>
      </c>
      <c r="H168" s="13" t="n">
        <v>22</v>
      </c>
      <c r="I168" s="14" t="n">
        <v>2.5</v>
      </c>
      <c r="J168" s="15" t="n">
        <v>35000</v>
      </c>
      <c r="K168" s="16" t="n">
        <v>7.6</v>
      </c>
      <c r="L168" s="23" t="n">
        <v>4</v>
      </c>
      <c r="M168" s="13" t="n">
        <v>32</v>
      </c>
      <c r="N168" s="13"/>
      <c r="O168" s="11" t="s">
        <v>24</v>
      </c>
      <c r="P168" s="11" t="s">
        <v>322</v>
      </c>
    </row>
    <row r="169" customFormat="false" ht="15.75" hidden="false" customHeight="true" outlineLevel="0" collapsed="false">
      <c r="A169" s="4" t="s">
        <v>370</v>
      </c>
      <c r="B169" s="5" t="s">
        <v>371</v>
      </c>
      <c r="C169" s="5" t="s">
        <v>295</v>
      </c>
      <c r="D169" s="5" t="s">
        <v>112</v>
      </c>
      <c r="E169" s="5" t="s">
        <v>21</v>
      </c>
      <c r="F169" s="5" t="s">
        <v>22</v>
      </c>
      <c r="G169" s="5" t="s">
        <v>32</v>
      </c>
      <c r="H169" s="6" t="n">
        <v>22</v>
      </c>
      <c r="I169" s="7" t="n">
        <v>1.5</v>
      </c>
      <c r="J169" s="8" t="n">
        <v>25000</v>
      </c>
      <c r="K169" s="9" t="n">
        <v>2.3</v>
      </c>
      <c r="L169" s="25" t="n">
        <v>1</v>
      </c>
      <c r="M169" s="6" t="n">
        <v>27</v>
      </c>
      <c r="N169" s="6"/>
      <c r="O169" s="4" t="s">
        <v>24</v>
      </c>
      <c r="P169" s="4" t="s">
        <v>322</v>
      </c>
    </row>
    <row r="170" customFormat="false" ht="15.75" hidden="false" customHeight="true" outlineLevel="0" collapsed="false">
      <c r="A170" s="11" t="s">
        <v>372</v>
      </c>
      <c r="B170" s="12" t="s">
        <v>373</v>
      </c>
      <c r="C170" s="12" t="s">
        <v>295</v>
      </c>
      <c r="D170" s="12" t="s">
        <v>112</v>
      </c>
      <c r="E170" s="12" t="s">
        <v>21</v>
      </c>
      <c r="F170" s="12" t="s">
        <v>22</v>
      </c>
      <c r="G170" s="12" t="s">
        <v>28</v>
      </c>
      <c r="H170" s="13" t="n">
        <v>22</v>
      </c>
      <c r="I170" s="14" t="n">
        <v>1.7</v>
      </c>
      <c r="J170" s="15" t="n">
        <v>32000</v>
      </c>
      <c r="K170" s="16" t="n">
        <v>5.1</v>
      </c>
      <c r="L170" s="10" t="n">
        <v>3</v>
      </c>
      <c r="M170" s="13" t="n">
        <v>21</v>
      </c>
      <c r="N170" s="13"/>
      <c r="O170" s="11" t="s">
        <v>24</v>
      </c>
      <c r="P170" s="11" t="s">
        <v>322</v>
      </c>
    </row>
    <row r="171" customFormat="false" ht="15.75" hidden="false" customHeight="true" outlineLevel="0" collapsed="false">
      <c r="A171" s="4" t="s">
        <v>374</v>
      </c>
      <c r="B171" s="5" t="s">
        <v>375</v>
      </c>
      <c r="C171" s="5" t="s">
        <v>295</v>
      </c>
      <c r="D171" s="5" t="s">
        <v>112</v>
      </c>
      <c r="E171" s="5" t="s">
        <v>58</v>
      </c>
      <c r="F171" s="5" t="s">
        <v>22</v>
      </c>
      <c r="G171" s="5" t="s">
        <v>32</v>
      </c>
      <c r="H171" s="6" t="n">
        <v>24</v>
      </c>
      <c r="I171" s="7" t="n">
        <v>1.2</v>
      </c>
      <c r="J171" s="8" t="n">
        <v>30000</v>
      </c>
      <c r="K171" s="9" t="n">
        <v>4.5</v>
      </c>
      <c r="L171" s="10" t="n">
        <v>3</v>
      </c>
      <c r="M171" s="6" t="n">
        <v>28</v>
      </c>
      <c r="N171" s="6"/>
      <c r="O171" s="4" t="s">
        <v>24</v>
      </c>
      <c r="P171" s="4" t="s">
        <v>322</v>
      </c>
    </row>
    <row r="172" customFormat="false" ht="15.75" hidden="false" customHeight="true" outlineLevel="0" collapsed="false">
      <c r="A172" s="11" t="s">
        <v>376</v>
      </c>
      <c r="B172" s="12" t="s">
        <v>377</v>
      </c>
      <c r="C172" s="12" t="s">
        <v>295</v>
      </c>
      <c r="D172" s="12" t="s">
        <v>112</v>
      </c>
      <c r="E172" s="12" t="s">
        <v>21</v>
      </c>
      <c r="F172" s="12" t="s">
        <v>31</v>
      </c>
      <c r="G172" s="12" t="s">
        <v>23</v>
      </c>
      <c r="H172" s="13" t="n">
        <v>22</v>
      </c>
      <c r="I172" s="14" t="n">
        <v>1.3</v>
      </c>
      <c r="J172" s="15" t="n">
        <v>34000</v>
      </c>
      <c r="K172" s="16" t="n">
        <v>4.5</v>
      </c>
      <c r="L172" s="10" t="n">
        <v>3</v>
      </c>
      <c r="M172" s="13" t="n">
        <v>34</v>
      </c>
      <c r="N172" s="13"/>
      <c r="O172" s="11" t="s">
        <v>24</v>
      </c>
      <c r="P172" s="11" t="s">
        <v>322</v>
      </c>
    </row>
    <row r="173" customFormat="false" ht="15.75" hidden="false" customHeight="true" outlineLevel="0" collapsed="false">
      <c r="A173" s="4" t="s">
        <v>378</v>
      </c>
      <c r="B173" s="5" t="s">
        <v>379</v>
      </c>
      <c r="C173" s="5" t="s">
        <v>295</v>
      </c>
      <c r="D173" s="5" t="s">
        <v>112</v>
      </c>
      <c r="E173" s="5" t="s">
        <v>58</v>
      </c>
      <c r="F173" s="5" t="s">
        <v>31</v>
      </c>
      <c r="G173" s="5" t="s">
        <v>32</v>
      </c>
      <c r="H173" s="6" t="n">
        <v>27</v>
      </c>
      <c r="I173" s="7" t="n">
        <v>1.2</v>
      </c>
      <c r="J173" s="8" t="n">
        <v>31000</v>
      </c>
      <c r="K173" s="9" t="n">
        <v>5.9</v>
      </c>
      <c r="L173" s="10" t="n">
        <v>3</v>
      </c>
      <c r="M173" s="6" t="n">
        <v>24</v>
      </c>
      <c r="N173" s="6"/>
      <c r="O173" s="4" t="s">
        <v>24</v>
      </c>
      <c r="P173" s="4" t="s">
        <v>322</v>
      </c>
    </row>
    <row r="174" customFormat="false" ht="15.75" hidden="false" customHeight="true" outlineLevel="0" collapsed="false">
      <c r="A174" s="11" t="s">
        <v>380</v>
      </c>
      <c r="B174" s="12" t="s">
        <v>381</v>
      </c>
      <c r="C174" s="12" t="s">
        <v>295</v>
      </c>
      <c r="D174" s="12" t="s">
        <v>112</v>
      </c>
      <c r="E174" s="12" t="s">
        <v>58</v>
      </c>
      <c r="F174" s="12" t="s">
        <v>22</v>
      </c>
      <c r="G174" s="12" t="s">
        <v>23</v>
      </c>
      <c r="H174" s="13" t="n">
        <v>24</v>
      </c>
      <c r="I174" s="14" t="n">
        <v>0.4</v>
      </c>
      <c r="J174" s="15" t="n">
        <v>37500</v>
      </c>
      <c r="K174" s="16" t="n">
        <v>4.1</v>
      </c>
      <c r="L174" s="23" t="n">
        <v>4</v>
      </c>
      <c r="M174" s="13" t="n">
        <v>44</v>
      </c>
      <c r="N174" s="13"/>
      <c r="O174" s="11" t="s">
        <v>24</v>
      </c>
      <c r="P174" s="11" t="s">
        <v>322</v>
      </c>
    </row>
    <row r="175" customFormat="false" ht="15.75" hidden="false" customHeight="true" outlineLevel="0" collapsed="false">
      <c r="A175" s="4" t="s">
        <v>382</v>
      </c>
      <c r="B175" s="5" t="s">
        <v>383</v>
      </c>
      <c r="C175" s="5" t="s">
        <v>295</v>
      </c>
      <c r="D175" s="5" t="s">
        <v>112</v>
      </c>
      <c r="E175" s="5" t="s">
        <v>38</v>
      </c>
      <c r="F175" s="5" t="s">
        <v>31</v>
      </c>
      <c r="G175" s="5" t="s">
        <v>23</v>
      </c>
      <c r="H175" s="6" t="n">
        <v>28</v>
      </c>
      <c r="I175" s="7" t="n">
        <v>1.4</v>
      </c>
      <c r="J175" s="8" t="n">
        <v>36500</v>
      </c>
      <c r="K175" s="9" t="n">
        <v>4.4</v>
      </c>
      <c r="L175" s="23" t="n">
        <v>4</v>
      </c>
      <c r="M175" s="6" t="n">
        <v>41</v>
      </c>
      <c r="N175" s="6"/>
      <c r="O175" s="4" t="s">
        <v>24</v>
      </c>
      <c r="P175" s="4" t="s">
        <v>322</v>
      </c>
    </row>
    <row r="176" customFormat="false" ht="15.75" hidden="false" customHeight="true" outlineLevel="0" collapsed="false">
      <c r="A176" s="11" t="s">
        <v>384</v>
      </c>
      <c r="B176" s="12" t="s">
        <v>385</v>
      </c>
      <c r="C176" s="12" t="s">
        <v>386</v>
      </c>
      <c r="D176" s="12" t="s">
        <v>20</v>
      </c>
      <c r="E176" s="12" t="s">
        <v>21</v>
      </c>
      <c r="F176" s="12" t="s">
        <v>31</v>
      </c>
      <c r="G176" s="12" t="s">
        <v>23</v>
      </c>
      <c r="H176" s="13" t="n">
        <v>51</v>
      </c>
      <c r="I176" s="14" t="n">
        <v>8.1</v>
      </c>
      <c r="J176" s="15" t="n">
        <v>136000</v>
      </c>
      <c r="K176" s="16" t="n">
        <v>17.5</v>
      </c>
      <c r="L176" s="10" t="n">
        <v>3</v>
      </c>
      <c r="M176" s="13" t="n">
        <v>4</v>
      </c>
      <c r="N176" s="13" t="n">
        <v>2024</v>
      </c>
      <c r="O176" s="11" t="s">
        <v>24</v>
      </c>
      <c r="P176" s="11" t="s">
        <v>25</v>
      </c>
    </row>
    <row r="177" customFormat="false" ht="15.75" hidden="false" customHeight="true" outlineLevel="0" collapsed="false">
      <c r="A177" s="4" t="s">
        <v>387</v>
      </c>
      <c r="B177" s="5" t="s">
        <v>388</v>
      </c>
      <c r="C177" s="5" t="s">
        <v>386</v>
      </c>
      <c r="D177" s="5" t="s">
        <v>35</v>
      </c>
      <c r="E177" s="5" t="s">
        <v>21</v>
      </c>
      <c r="F177" s="5" t="s">
        <v>31</v>
      </c>
      <c r="G177" s="5" t="s">
        <v>28</v>
      </c>
      <c r="H177" s="6" t="n">
        <v>36</v>
      </c>
      <c r="I177" s="7" t="n">
        <v>8</v>
      </c>
      <c r="J177" s="8" t="n">
        <v>110500</v>
      </c>
      <c r="K177" s="9" t="n">
        <v>18.7</v>
      </c>
      <c r="L177" s="24" t="n">
        <v>5</v>
      </c>
      <c r="M177" s="6" t="n">
        <v>13</v>
      </c>
      <c r="N177" s="6" t="n">
        <v>2024</v>
      </c>
      <c r="O177" s="4" t="s">
        <v>24</v>
      </c>
      <c r="P177" s="4" t="s">
        <v>384</v>
      </c>
    </row>
    <row r="178" customFormat="false" ht="15.75" hidden="false" customHeight="true" outlineLevel="0" collapsed="false">
      <c r="A178" s="11" t="s">
        <v>389</v>
      </c>
      <c r="B178" s="12" t="s">
        <v>390</v>
      </c>
      <c r="C178" s="12" t="s">
        <v>386</v>
      </c>
      <c r="D178" s="12" t="s">
        <v>53</v>
      </c>
      <c r="E178" s="12" t="s">
        <v>58</v>
      </c>
      <c r="F178" s="12" t="s">
        <v>46</v>
      </c>
      <c r="G178" s="12" t="s">
        <v>32</v>
      </c>
      <c r="H178" s="13" t="n">
        <v>30</v>
      </c>
      <c r="I178" s="14" t="n">
        <v>5.5</v>
      </c>
      <c r="J178" s="15" t="n">
        <v>73000</v>
      </c>
      <c r="K178" s="16" t="n">
        <v>12.4</v>
      </c>
      <c r="L178" s="10" t="n">
        <v>3</v>
      </c>
      <c r="M178" s="13" t="n">
        <v>10</v>
      </c>
      <c r="N178" s="13" t="n">
        <v>2021</v>
      </c>
      <c r="O178" s="11" t="s">
        <v>24</v>
      </c>
      <c r="P178" s="11" t="s">
        <v>387</v>
      </c>
    </row>
    <row r="179" customFormat="false" ht="15.75" hidden="false" customHeight="true" outlineLevel="0" collapsed="false">
      <c r="A179" s="17" t="s">
        <v>391</v>
      </c>
      <c r="B179" s="18" t="s">
        <v>392</v>
      </c>
      <c r="C179" s="18" t="s">
        <v>386</v>
      </c>
      <c r="D179" s="18" t="s">
        <v>53</v>
      </c>
      <c r="E179" s="18" t="s">
        <v>21</v>
      </c>
      <c r="F179" s="18" t="s">
        <v>46</v>
      </c>
      <c r="G179" s="18" t="s">
        <v>32</v>
      </c>
      <c r="H179" s="19" t="n">
        <v>30</v>
      </c>
      <c r="I179" s="20" t="n">
        <v>3.8</v>
      </c>
      <c r="J179" s="21" t="n">
        <v>85500</v>
      </c>
      <c r="K179" s="22" t="n">
        <v>16.3</v>
      </c>
      <c r="L179" s="24" t="n">
        <v>5</v>
      </c>
      <c r="M179" s="19" t="n">
        <v>34</v>
      </c>
      <c r="N179" s="19" t="n">
        <v>2024</v>
      </c>
      <c r="O179" s="17" t="s">
        <v>39</v>
      </c>
      <c r="P179" s="17" t="s">
        <v>387</v>
      </c>
    </row>
    <row r="180" customFormat="false" ht="15.75" hidden="false" customHeight="true" outlineLevel="0" collapsed="false">
      <c r="A180" s="11" t="s">
        <v>393</v>
      </c>
      <c r="B180" s="12" t="s">
        <v>394</v>
      </c>
      <c r="C180" s="12" t="s">
        <v>386</v>
      </c>
      <c r="D180" s="12" t="s">
        <v>53</v>
      </c>
      <c r="E180" s="12" t="s">
        <v>21</v>
      </c>
      <c r="F180" s="12" t="s">
        <v>46</v>
      </c>
      <c r="G180" s="12" t="s">
        <v>23</v>
      </c>
      <c r="H180" s="13" t="n">
        <v>32</v>
      </c>
      <c r="I180" s="14" t="n">
        <v>4.5</v>
      </c>
      <c r="J180" s="15" t="n">
        <v>85000</v>
      </c>
      <c r="K180" s="16" t="n">
        <v>13.9</v>
      </c>
      <c r="L180" s="23" t="n">
        <v>4</v>
      </c>
      <c r="M180" s="13" t="n">
        <v>25</v>
      </c>
      <c r="N180" s="13" t="n">
        <v>2022</v>
      </c>
      <c r="O180" s="11" t="s">
        <v>24</v>
      </c>
      <c r="P180" s="11" t="s">
        <v>387</v>
      </c>
    </row>
    <row r="181" customFormat="false" ht="15.75" hidden="false" customHeight="true" outlineLevel="0" collapsed="false">
      <c r="A181" s="4" t="s">
        <v>395</v>
      </c>
      <c r="B181" s="5" t="s">
        <v>396</v>
      </c>
      <c r="C181" s="5" t="s">
        <v>386</v>
      </c>
      <c r="D181" s="5" t="s">
        <v>53</v>
      </c>
      <c r="E181" s="5" t="s">
        <v>21</v>
      </c>
      <c r="F181" s="5" t="s">
        <v>22</v>
      </c>
      <c r="G181" s="5" t="s">
        <v>23</v>
      </c>
      <c r="H181" s="6" t="n">
        <v>36</v>
      </c>
      <c r="I181" s="7" t="n">
        <v>7.7</v>
      </c>
      <c r="J181" s="8" t="n">
        <v>88000</v>
      </c>
      <c r="K181" s="9" t="n">
        <v>14.5</v>
      </c>
      <c r="L181" s="23" t="n">
        <v>4</v>
      </c>
      <c r="M181" s="6" t="n">
        <v>35</v>
      </c>
      <c r="N181" s="6" t="n">
        <v>2022</v>
      </c>
      <c r="O181" s="4" t="s">
        <v>24</v>
      </c>
      <c r="P181" s="4" t="s">
        <v>387</v>
      </c>
    </row>
    <row r="182" customFormat="false" ht="15.75" hidden="false" customHeight="true" outlineLevel="0" collapsed="false">
      <c r="A182" s="11" t="s">
        <v>397</v>
      </c>
      <c r="B182" s="12" t="s">
        <v>398</v>
      </c>
      <c r="C182" s="12" t="s">
        <v>386</v>
      </c>
      <c r="D182" s="12" t="s">
        <v>79</v>
      </c>
      <c r="E182" s="12" t="s">
        <v>21</v>
      </c>
      <c r="F182" s="12" t="s">
        <v>46</v>
      </c>
      <c r="G182" s="12" t="s">
        <v>23</v>
      </c>
      <c r="H182" s="13" t="n">
        <v>24</v>
      </c>
      <c r="I182" s="14" t="n">
        <v>4.4</v>
      </c>
      <c r="J182" s="15" t="n">
        <v>51500</v>
      </c>
      <c r="K182" s="16" t="n">
        <v>7.3</v>
      </c>
      <c r="L182" s="10" t="n">
        <v>3</v>
      </c>
      <c r="M182" s="13" t="n">
        <v>9</v>
      </c>
      <c r="N182" s="13" t="n">
        <v>2021</v>
      </c>
      <c r="O182" s="11" t="s">
        <v>24</v>
      </c>
      <c r="P182" s="11" t="s">
        <v>389</v>
      </c>
    </row>
    <row r="183" customFormat="false" ht="15.75" hidden="false" customHeight="true" outlineLevel="0" collapsed="false">
      <c r="A183" s="17" t="s">
        <v>399</v>
      </c>
      <c r="B183" s="18" t="s">
        <v>400</v>
      </c>
      <c r="C183" s="18" t="s">
        <v>386</v>
      </c>
      <c r="D183" s="18" t="s">
        <v>79</v>
      </c>
      <c r="E183" s="18" t="s">
        <v>21</v>
      </c>
      <c r="F183" s="18" t="s">
        <v>46</v>
      </c>
      <c r="G183" s="18" t="s">
        <v>32</v>
      </c>
      <c r="H183" s="19" t="n">
        <v>31</v>
      </c>
      <c r="I183" s="20" t="n">
        <v>3.7</v>
      </c>
      <c r="J183" s="21" t="n">
        <v>55500</v>
      </c>
      <c r="K183" s="22" t="n">
        <v>9.2</v>
      </c>
      <c r="L183" s="24" t="n">
        <v>5</v>
      </c>
      <c r="M183" s="19" t="n">
        <v>26</v>
      </c>
      <c r="N183" s="19" t="n">
        <v>2022</v>
      </c>
      <c r="O183" s="17" t="s">
        <v>39</v>
      </c>
      <c r="P183" s="17" t="s">
        <v>389</v>
      </c>
    </row>
    <row r="184" customFormat="false" ht="15.75" hidden="false" customHeight="true" outlineLevel="0" collapsed="false">
      <c r="A184" s="11" t="s">
        <v>401</v>
      </c>
      <c r="B184" s="12" t="s">
        <v>402</v>
      </c>
      <c r="C184" s="12" t="s">
        <v>386</v>
      </c>
      <c r="D184" s="12" t="s">
        <v>79</v>
      </c>
      <c r="E184" s="12" t="s">
        <v>21</v>
      </c>
      <c r="F184" s="12" t="s">
        <v>22</v>
      </c>
      <c r="G184" s="12" t="s">
        <v>23</v>
      </c>
      <c r="H184" s="13" t="n">
        <v>23</v>
      </c>
      <c r="I184" s="14" t="n">
        <v>2.7</v>
      </c>
      <c r="J184" s="15" t="n">
        <v>59000</v>
      </c>
      <c r="K184" s="16" t="n">
        <v>10.5</v>
      </c>
      <c r="L184" s="23" t="n">
        <v>4</v>
      </c>
      <c r="M184" s="13" t="n">
        <v>41</v>
      </c>
      <c r="N184" s="13" t="n">
        <v>2024</v>
      </c>
      <c r="O184" s="11" t="s">
        <v>24</v>
      </c>
      <c r="P184" s="11" t="s">
        <v>389</v>
      </c>
    </row>
    <row r="185" customFormat="false" ht="15.75" hidden="false" customHeight="true" outlineLevel="0" collapsed="false">
      <c r="A185" s="4" t="s">
        <v>403</v>
      </c>
      <c r="B185" s="5" t="s">
        <v>404</v>
      </c>
      <c r="C185" s="5" t="s">
        <v>386</v>
      </c>
      <c r="D185" s="5" t="s">
        <v>79</v>
      </c>
      <c r="E185" s="5" t="s">
        <v>21</v>
      </c>
      <c r="F185" s="5" t="s">
        <v>46</v>
      </c>
      <c r="G185" s="5" t="s">
        <v>32</v>
      </c>
      <c r="H185" s="6" t="n">
        <v>29</v>
      </c>
      <c r="I185" s="7" t="n">
        <v>2.8</v>
      </c>
      <c r="J185" s="8" t="n">
        <v>46500</v>
      </c>
      <c r="K185" s="9" t="n">
        <v>7.2</v>
      </c>
      <c r="L185" s="10" t="n">
        <v>3</v>
      </c>
      <c r="M185" s="6" t="n">
        <v>16</v>
      </c>
      <c r="N185" s="6" t="n">
        <v>2024</v>
      </c>
      <c r="O185" s="4" t="s">
        <v>24</v>
      </c>
      <c r="P185" s="4" t="s">
        <v>389</v>
      </c>
    </row>
    <row r="186" customFormat="false" ht="15.75" hidden="false" customHeight="true" outlineLevel="0" collapsed="false">
      <c r="A186" s="11" t="s">
        <v>405</v>
      </c>
      <c r="B186" s="12" t="s">
        <v>406</v>
      </c>
      <c r="C186" s="12" t="s">
        <v>386</v>
      </c>
      <c r="D186" s="12" t="s">
        <v>79</v>
      </c>
      <c r="E186" s="12" t="s">
        <v>21</v>
      </c>
      <c r="F186" s="12" t="s">
        <v>46</v>
      </c>
      <c r="G186" s="12" t="s">
        <v>32</v>
      </c>
      <c r="H186" s="13" t="n">
        <v>31</v>
      </c>
      <c r="I186" s="14" t="n">
        <v>5.3</v>
      </c>
      <c r="J186" s="15" t="n">
        <v>53500</v>
      </c>
      <c r="K186" s="16" t="n">
        <v>9.6</v>
      </c>
      <c r="L186" s="23" t="n">
        <v>4</v>
      </c>
      <c r="M186" s="13" t="n">
        <v>32</v>
      </c>
      <c r="N186" s="13" t="n">
        <v>2022</v>
      </c>
      <c r="O186" s="11" t="s">
        <v>24</v>
      </c>
      <c r="P186" s="11" t="s">
        <v>389</v>
      </c>
    </row>
    <row r="187" customFormat="false" ht="15.75" hidden="false" customHeight="true" outlineLevel="0" collapsed="false">
      <c r="A187" s="4" t="s">
        <v>407</v>
      </c>
      <c r="B187" s="5" t="s">
        <v>408</v>
      </c>
      <c r="C187" s="5" t="s">
        <v>386</v>
      </c>
      <c r="D187" s="5" t="s">
        <v>112</v>
      </c>
      <c r="E187" s="5" t="s">
        <v>21</v>
      </c>
      <c r="F187" s="5" t="s">
        <v>46</v>
      </c>
      <c r="G187" s="5" t="s">
        <v>23</v>
      </c>
      <c r="H187" s="6" t="n">
        <v>23</v>
      </c>
      <c r="I187" s="7" t="n">
        <v>1.4</v>
      </c>
      <c r="J187" s="8" t="n">
        <v>35000</v>
      </c>
      <c r="K187" s="9" t="n">
        <v>3.1</v>
      </c>
      <c r="L187" s="10" t="n">
        <v>3</v>
      </c>
      <c r="M187" s="6" t="n">
        <v>40</v>
      </c>
      <c r="N187" s="6"/>
      <c r="O187" s="4" t="s">
        <v>24</v>
      </c>
      <c r="P187" s="4" t="s">
        <v>397</v>
      </c>
    </row>
    <row r="188" customFormat="false" ht="15.75" hidden="false" customHeight="true" outlineLevel="0" collapsed="false">
      <c r="A188" s="17" t="s">
        <v>409</v>
      </c>
      <c r="B188" s="18" t="s">
        <v>410</v>
      </c>
      <c r="C188" s="18" t="s">
        <v>386</v>
      </c>
      <c r="D188" s="18" t="s">
        <v>112</v>
      </c>
      <c r="E188" s="18" t="s">
        <v>21</v>
      </c>
      <c r="F188" s="18" t="s">
        <v>22</v>
      </c>
      <c r="G188" s="18" t="s">
        <v>32</v>
      </c>
      <c r="H188" s="19" t="n">
        <v>22</v>
      </c>
      <c r="I188" s="20" t="n">
        <v>1.5</v>
      </c>
      <c r="J188" s="21" t="n">
        <v>29500</v>
      </c>
      <c r="K188" s="22" t="n">
        <v>1.8</v>
      </c>
      <c r="L188" s="26" t="n">
        <v>2</v>
      </c>
      <c r="M188" s="19" t="n">
        <v>20</v>
      </c>
      <c r="N188" s="19"/>
      <c r="O188" s="17" t="s">
        <v>39</v>
      </c>
      <c r="P188" s="17" t="s">
        <v>397</v>
      </c>
    </row>
    <row r="189" customFormat="false" ht="15.75" hidden="false" customHeight="true" outlineLevel="0" collapsed="false">
      <c r="A189" s="4" t="s">
        <v>411</v>
      </c>
      <c r="B189" s="5" t="s">
        <v>412</v>
      </c>
      <c r="C189" s="5" t="s">
        <v>386</v>
      </c>
      <c r="D189" s="5" t="s">
        <v>112</v>
      </c>
      <c r="E189" s="5" t="s">
        <v>21</v>
      </c>
      <c r="F189" s="5" t="s">
        <v>31</v>
      </c>
      <c r="G189" s="5" t="s">
        <v>32</v>
      </c>
      <c r="H189" s="6" t="n">
        <v>22</v>
      </c>
      <c r="I189" s="7" t="n">
        <v>1.6</v>
      </c>
      <c r="J189" s="8" t="n">
        <v>35000</v>
      </c>
      <c r="K189" s="9" t="n">
        <v>5.6</v>
      </c>
      <c r="L189" s="23" t="n">
        <v>4</v>
      </c>
      <c r="M189" s="6" t="n">
        <v>44</v>
      </c>
      <c r="N189" s="6"/>
      <c r="O189" s="4" t="s">
        <v>24</v>
      </c>
      <c r="P189" s="4" t="s">
        <v>397</v>
      </c>
    </row>
    <row r="190" customFormat="false" ht="15.75" hidden="false" customHeight="true" outlineLevel="0" collapsed="false">
      <c r="A190" s="11" t="s">
        <v>413</v>
      </c>
      <c r="B190" s="12" t="s">
        <v>414</v>
      </c>
      <c r="C190" s="12" t="s">
        <v>386</v>
      </c>
      <c r="D190" s="12" t="s">
        <v>112</v>
      </c>
      <c r="E190" s="12" t="s">
        <v>58</v>
      </c>
      <c r="F190" s="12" t="s">
        <v>31</v>
      </c>
      <c r="G190" s="12" t="s">
        <v>32</v>
      </c>
      <c r="H190" s="13" t="n">
        <v>25</v>
      </c>
      <c r="I190" s="14" t="n">
        <v>1.6</v>
      </c>
      <c r="J190" s="15" t="n">
        <v>28500</v>
      </c>
      <c r="K190" s="16" t="n">
        <v>2.7</v>
      </c>
      <c r="L190" s="26" t="n">
        <v>2</v>
      </c>
      <c r="M190" s="13" t="n">
        <v>21</v>
      </c>
      <c r="N190" s="13"/>
      <c r="O190" s="11" t="s">
        <v>24</v>
      </c>
      <c r="P190" s="11" t="s">
        <v>397</v>
      </c>
    </row>
    <row r="191" customFormat="false" ht="15.75" hidden="false" customHeight="true" outlineLevel="0" collapsed="false">
      <c r="A191" s="17" t="s">
        <v>415</v>
      </c>
      <c r="B191" s="18" t="s">
        <v>416</v>
      </c>
      <c r="C191" s="18" t="s">
        <v>386</v>
      </c>
      <c r="D191" s="18" t="s">
        <v>112</v>
      </c>
      <c r="E191" s="18" t="s">
        <v>58</v>
      </c>
      <c r="F191" s="18" t="s">
        <v>22</v>
      </c>
      <c r="G191" s="18" t="s">
        <v>23</v>
      </c>
      <c r="H191" s="19" t="n">
        <v>28</v>
      </c>
      <c r="I191" s="20" t="n">
        <v>0.3</v>
      </c>
      <c r="J191" s="21" t="n">
        <v>37500</v>
      </c>
      <c r="K191" s="22" t="n">
        <v>6.7</v>
      </c>
      <c r="L191" s="23" t="n">
        <v>4</v>
      </c>
      <c r="M191" s="19" t="n">
        <v>38</v>
      </c>
      <c r="N191" s="19"/>
      <c r="O191" s="17" t="s">
        <v>39</v>
      </c>
      <c r="P191" s="17" t="s">
        <v>397</v>
      </c>
    </row>
    <row r="192" customFormat="false" ht="15.75" hidden="false" customHeight="true" outlineLevel="0" collapsed="false">
      <c r="A192" s="11" t="s">
        <v>417</v>
      </c>
      <c r="B192" s="12" t="s">
        <v>418</v>
      </c>
      <c r="C192" s="12" t="s">
        <v>386</v>
      </c>
      <c r="D192" s="12" t="s">
        <v>112</v>
      </c>
      <c r="E192" s="12" t="s">
        <v>21</v>
      </c>
      <c r="F192" s="12" t="s">
        <v>46</v>
      </c>
      <c r="G192" s="12" t="s">
        <v>32</v>
      </c>
      <c r="H192" s="13" t="n">
        <v>25</v>
      </c>
      <c r="I192" s="14" t="n">
        <v>0.3</v>
      </c>
      <c r="J192" s="15" t="n">
        <v>27000</v>
      </c>
      <c r="K192" s="16" t="n">
        <v>3.8</v>
      </c>
      <c r="L192" s="26" t="n">
        <v>2</v>
      </c>
      <c r="M192" s="13" t="n">
        <v>25</v>
      </c>
      <c r="N192" s="13"/>
      <c r="O192" s="11" t="s">
        <v>24</v>
      </c>
      <c r="P192" s="11" t="s">
        <v>397</v>
      </c>
    </row>
    <row r="193" customFormat="false" ht="15.75" hidden="false" customHeight="true" outlineLevel="0" collapsed="false">
      <c r="A193" s="4" t="s">
        <v>419</v>
      </c>
      <c r="B193" s="5" t="s">
        <v>420</v>
      </c>
      <c r="C193" s="5" t="s">
        <v>386</v>
      </c>
      <c r="D193" s="5" t="s">
        <v>112</v>
      </c>
      <c r="E193" s="5" t="s">
        <v>21</v>
      </c>
      <c r="F193" s="5" t="s">
        <v>22</v>
      </c>
      <c r="G193" s="5" t="s">
        <v>23</v>
      </c>
      <c r="H193" s="6" t="n">
        <v>25</v>
      </c>
      <c r="I193" s="7" t="n">
        <v>1.1</v>
      </c>
      <c r="J193" s="8" t="n">
        <v>34500</v>
      </c>
      <c r="K193" s="9" t="n">
        <v>6.9</v>
      </c>
      <c r="L193" s="10" t="n">
        <v>3</v>
      </c>
      <c r="M193" s="6" t="n">
        <v>20</v>
      </c>
      <c r="N193" s="6"/>
      <c r="O193" s="4" t="s">
        <v>24</v>
      </c>
      <c r="P193" s="4" t="s">
        <v>397</v>
      </c>
    </row>
    <row r="194" customFormat="false" ht="15.75" hidden="false" customHeight="true" outlineLevel="0" collapsed="false">
      <c r="A194" s="11" t="s">
        <v>421</v>
      </c>
      <c r="B194" s="12" t="s">
        <v>422</v>
      </c>
      <c r="C194" s="12" t="s">
        <v>386</v>
      </c>
      <c r="D194" s="12" t="s">
        <v>112</v>
      </c>
      <c r="E194" s="12" t="s">
        <v>21</v>
      </c>
      <c r="F194" s="12" t="s">
        <v>31</v>
      </c>
      <c r="G194" s="12" t="s">
        <v>23</v>
      </c>
      <c r="H194" s="13" t="n">
        <v>27</v>
      </c>
      <c r="I194" s="14" t="n">
        <v>0.7</v>
      </c>
      <c r="J194" s="15" t="n">
        <v>34500</v>
      </c>
      <c r="K194" s="16" t="n">
        <v>6.9</v>
      </c>
      <c r="L194" s="10" t="n">
        <v>3</v>
      </c>
      <c r="M194" s="13" t="n">
        <v>29</v>
      </c>
      <c r="N194" s="13"/>
      <c r="O194" s="11" t="s">
        <v>24</v>
      </c>
      <c r="P194" s="11" t="s">
        <v>397</v>
      </c>
    </row>
    <row r="195" customFormat="false" ht="15.75" hidden="false" customHeight="true" outlineLevel="0" collapsed="false">
      <c r="A195" s="4" t="s">
        <v>423</v>
      </c>
      <c r="B195" s="5" t="s">
        <v>424</v>
      </c>
      <c r="C195" s="5" t="s">
        <v>386</v>
      </c>
      <c r="D195" s="5" t="s">
        <v>112</v>
      </c>
      <c r="E195" s="5" t="s">
        <v>58</v>
      </c>
      <c r="F195" s="5" t="s">
        <v>46</v>
      </c>
      <c r="G195" s="5" t="s">
        <v>32</v>
      </c>
      <c r="H195" s="6" t="n">
        <v>33</v>
      </c>
      <c r="I195" s="7" t="n">
        <v>0.5</v>
      </c>
      <c r="J195" s="8" t="n">
        <v>34000</v>
      </c>
      <c r="K195" s="9" t="n">
        <v>8.4</v>
      </c>
      <c r="L195" s="23" t="n">
        <v>4</v>
      </c>
      <c r="M195" s="6" t="n">
        <v>26</v>
      </c>
      <c r="N195" s="6"/>
      <c r="O195" s="4" t="s">
        <v>24</v>
      </c>
      <c r="P195" s="4" t="s">
        <v>397</v>
      </c>
    </row>
    <row r="196" customFormat="false" ht="15.75" hidden="false" customHeight="true" outlineLevel="0" collapsed="false">
      <c r="A196" s="11" t="s">
        <v>425</v>
      </c>
      <c r="B196" s="12" t="s">
        <v>426</v>
      </c>
      <c r="C196" s="12" t="s">
        <v>386</v>
      </c>
      <c r="D196" s="12" t="s">
        <v>112</v>
      </c>
      <c r="E196" s="12" t="s">
        <v>21</v>
      </c>
      <c r="F196" s="12" t="s">
        <v>22</v>
      </c>
      <c r="G196" s="12" t="s">
        <v>23</v>
      </c>
      <c r="H196" s="13" t="n">
        <v>26</v>
      </c>
      <c r="I196" s="14" t="n">
        <v>2.3</v>
      </c>
      <c r="J196" s="15" t="n">
        <v>35000</v>
      </c>
      <c r="K196" s="16" t="n">
        <v>4.9</v>
      </c>
      <c r="L196" s="10" t="n">
        <v>3</v>
      </c>
      <c r="M196" s="13" t="n">
        <v>42</v>
      </c>
      <c r="N196" s="13" t="n">
        <v>2023</v>
      </c>
      <c r="O196" s="11" t="s">
        <v>24</v>
      </c>
      <c r="P196" s="11" t="s">
        <v>397</v>
      </c>
    </row>
    <row r="197" customFormat="false" ht="15.75" hidden="false" customHeight="true" outlineLevel="0" collapsed="false">
      <c r="A197" s="4" t="s">
        <v>427</v>
      </c>
      <c r="B197" s="5" t="s">
        <v>428</v>
      </c>
      <c r="C197" s="5" t="s">
        <v>386</v>
      </c>
      <c r="D197" s="5" t="s">
        <v>112</v>
      </c>
      <c r="E197" s="5" t="s">
        <v>21</v>
      </c>
      <c r="F197" s="5" t="s">
        <v>31</v>
      </c>
      <c r="G197" s="5" t="s">
        <v>32</v>
      </c>
      <c r="H197" s="6" t="n">
        <v>27</v>
      </c>
      <c r="I197" s="7" t="n">
        <v>2</v>
      </c>
      <c r="J197" s="8" t="n">
        <v>29000</v>
      </c>
      <c r="K197" s="9" t="n">
        <v>6.6</v>
      </c>
      <c r="L197" s="26" t="n">
        <v>2</v>
      </c>
      <c r="M197" s="6" t="n">
        <v>21</v>
      </c>
      <c r="N197" s="6"/>
      <c r="O197" s="4" t="s">
        <v>24</v>
      </c>
      <c r="P197" s="4" t="s">
        <v>397</v>
      </c>
    </row>
    <row r="198" customFormat="false" ht="15.75" hidden="false" customHeight="true" outlineLevel="0" collapsed="false">
      <c r="A198" s="11" t="s">
        <v>429</v>
      </c>
      <c r="B198" s="12" t="s">
        <v>430</v>
      </c>
      <c r="C198" s="12" t="s">
        <v>386</v>
      </c>
      <c r="D198" s="12" t="s">
        <v>112</v>
      </c>
      <c r="E198" s="12" t="s">
        <v>38</v>
      </c>
      <c r="F198" s="12" t="s">
        <v>22</v>
      </c>
      <c r="G198" s="12" t="s">
        <v>32</v>
      </c>
      <c r="H198" s="13" t="n">
        <v>24</v>
      </c>
      <c r="I198" s="14" t="n">
        <v>0.3</v>
      </c>
      <c r="J198" s="15" t="n">
        <v>28000</v>
      </c>
      <c r="K198" s="16" t="n">
        <v>2.7</v>
      </c>
      <c r="L198" s="26" t="n">
        <v>2</v>
      </c>
      <c r="M198" s="13" t="n">
        <v>33</v>
      </c>
      <c r="N198" s="13"/>
      <c r="O198" s="11" t="s">
        <v>24</v>
      </c>
      <c r="P198" s="11" t="s">
        <v>397</v>
      </c>
    </row>
    <row r="199" customFormat="false" ht="15.75" hidden="false" customHeight="true" outlineLevel="0" collapsed="false">
      <c r="A199" s="4" t="s">
        <v>431</v>
      </c>
      <c r="B199" s="5" t="s">
        <v>432</v>
      </c>
      <c r="C199" s="5" t="s">
        <v>386</v>
      </c>
      <c r="D199" s="5" t="s">
        <v>112</v>
      </c>
      <c r="E199" s="5" t="s">
        <v>21</v>
      </c>
      <c r="F199" s="5" t="s">
        <v>31</v>
      </c>
      <c r="G199" s="5" t="s">
        <v>32</v>
      </c>
      <c r="H199" s="6" t="n">
        <v>28</v>
      </c>
      <c r="I199" s="7" t="n">
        <v>1.5</v>
      </c>
      <c r="J199" s="8" t="n">
        <v>33000</v>
      </c>
      <c r="K199" s="9" t="n">
        <v>4.8</v>
      </c>
      <c r="L199" s="10" t="n">
        <v>3</v>
      </c>
      <c r="M199" s="6" t="n">
        <v>40</v>
      </c>
      <c r="N199" s="6"/>
      <c r="O199" s="4" t="s">
        <v>24</v>
      </c>
      <c r="P199" s="4" t="s">
        <v>397</v>
      </c>
    </row>
    <row r="200" customFormat="false" ht="15.75" hidden="false" customHeight="true" outlineLevel="0" collapsed="false">
      <c r="A200" s="11" t="s">
        <v>433</v>
      </c>
      <c r="B200" s="12" t="s">
        <v>434</v>
      </c>
      <c r="C200" s="12" t="s">
        <v>386</v>
      </c>
      <c r="D200" s="12" t="s">
        <v>112</v>
      </c>
      <c r="E200" s="12" t="s">
        <v>21</v>
      </c>
      <c r="F200" s="12" t="s">
        <v>31</v>
      </c>
      <c r="G200" s="12" t="s">
        <v>32</v>
      </c>
      <c r="H200" s="13" t="n">
        <v>22</v>
      </c>
      <c r="I200" s="14" t="n">
        <v>0.6</v>
      </c>
      <c r="J200" s="15" t="n">
        <v>32000</v>
      </c>
      <c r="K200" s="16" t="n">
        <v>6.4</v>
      </c>
      <c r="L200" s="10" t="n">
        <v>3</v>
      </c>
      <c r="M200" s="13" t="n">
        <v>29</v>
      </c>
      <c r="N200" s="13"/>
      <c r="O200" s="11" t="s">
        <v>24</v>
      </c>
      <c r="P200" s="11" t="s">
        <v>397</v>
      </c>
    </row>
    <row r="201" customFormat="false" ht="15.75" hidden="false" customHeight="true" outlineLevel="0" collapsed="false">
      <c r="A201" s="4" t="s">
        <v>435</v>
      </c>
      <c r="B201" s="5" t="s">
        <v>436</v>
      </c>
      <c r="C201" s="5" t="s">
        <v>386</v>
      </c>
      <c r="D201" s="5" t="s">
        <v>112</v>
      </c>
      <c r="E201" s="5" t="s">
        <v>21</v>
      </c>
      <c r="F201" s="5" t="s">
        <v>22</v>
      </c>
      <c r="G201" s="5" t="s">
        <v>32</v>
      </c>
      <c r="H201" s="6" t="n">
        <v>27</v>
      </c>
      <c r="I201" s="7" t="n">
        <v>1</v>
      </c>
      <c r="J201" s="8" t="n">
        <v>31000</v>
      </c>
      <c r="K201" s="9" t="n">
        <v>3.7</v>
      </c>
      <c r="L201" s="10" t="n">
        <v>3</v>
      </c>
      <c r="M201" s="6" t="n">
        <v>23</v>
      </c>
      <c r="N201" s="6"/>
      <c r="O201" s="4" t="s">
        <v>24</v>
      </c>
      <c r="P201" s="4" t="s">
        <v>397</v>
      </c>
    </row>
    <row r="202" customFormat="false" ht="15.75" hidden="false" customHeight="true" outlineLevel="0" collapsed="false">
      <c r="A202" s="11" t="s">
        <v>437</v>
      </c>
      <c r="B202" s="12" t="s">
        <v>438</v>
      </c>
      <c r="C202" s="12" t="s">
        <v>386</v>
      </c>
      <c r="D202" s="12" t="s">
        <v>112</v>
      </c>
      <c r="E202" s="12" t="s">
        <v>21</v>
      </c>
      <c r="F202" s="12" t="s">
        <v>22</v>
      </c>
      <c r="G202" s="12" t="s">
        <v>23</v>
      </c>
      <c r="H202" s="13" t="n">
        <v>28</v>
      </c>
      <c r="I202" s="14" t="n">
        <v>0.7</v>
      </c>
      <c r="J202" s="15" t="n">
        <v>31000</v>
      </c>
      <c r="K202" s="16" t="n">
        <v>3.2</v>
      </c>
      <c r="L202" s="26" t="n">
        <v>2</v>
      </c>
      <c r="M202" s="13" t="n">
        <v>24</v>
      </c>
      <c r="N202" s="13"/>
      <c r="O202" s="11" t="s">
        <v>24</v>
      </c>
      <c r="P202" s="11" t="s">
        <v>397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8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439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440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441</v>
      </c>
      <c r="B4" s="28"/>
      <c r="C4" s="28"/>
    </row>
    <row r="5" customFormat="false" ht="15.75" hidden="false" customHeight="true" outlineLevel="0" collapsed="false">
      <c r="A5" s="29" t="s">
        <v>442</v>
      </c>
      <c r="B5" s="30" t="n">
        <f aca="false">COUNTA('Employee Data'!B3:B202)</f>
        <v>200</v>
      </c>
      <c r="C5" s="31" t="s">
        <v>443</v>
      </c>
    </row>
    <row r="6" customFormat="false" ht="15.75" hidden="false" customHeight="true" outlineLevel="0" collapsed="false">
      <c r="A6" s="32" t="s">
        <v>444</v>
      </c>
      <c r="B6" s="33" t="n">
        <f aca="false">COUNT('Employee Data'!J3:J202)</f>
        <v>200</v>
      </c>
      <c r="C6" s="34" t="s">
        <v>445</v>
      </c>
    </row>
    <row r="7" customFormat="false" ht="15.75" hidden="false" customHeight="true" outlineLevel="0" collapsed="false">
      <c r="A7" s="29" t="s">
        <v>446</v>
      </c>
      <c r="B7" s="30" t="n">
        <f aca="false">COUNTBLANK('Employee Data'!N3:N202)</f>
        <v>59</v>
      </c>
      <c r="C7" s="31" t="s">
        <v>447</v>
      </c>
    </row>
    <row r="9" customFormat="false" ht="18" hidden="false" customHeight="true" outlineLevel="0" collapsed="false">
      <c r="A9" s="28" t="s">
        <v>448</v>
      </c>
      <c r="B9" s="28"/>
      <c r="C9" s="28"/>
    </row>
    <row r="10" customFormat="false" ht="15.75" hidden="false" customHeight="true" outlineLevel="0" collapsed="false">
      <c r="A10" s="32" t="s">
        <v>449</v>
      </c>
      <c r="B10" s="33" t="n">
        <f aca="false">COUNTIF('Employee Data'!C3:C202,"Technology")</f>
        <v>50</v>
      </c>
      <c r="C10" s="34"/>
    </row>
    <row r="11" customFormat="false" ht="15.75" hidden="false" customHeight="true" outlineLevel="0" collapsed="false">
      <c r="A11" s="29" t="s">
        <v>450</v>
      </c>
      <c r="B11" s="30" t="n">
        <f aca="false">COUNTIF('Employee Data'!C3:C202,"Strategy")</f>
        <v>40</v>
      </c>
      <c r="C11" s="31"/>
    </row>
    <row r="12" customFormat="false" ht="15.75" hidden="false" customHeight="true" outlineLevel="0" collapsed="false">
      <c r="A12" s="32" t="s">
        <v>451</v>
      </c>
      <c r="B12" s="33" t="n">
        <f aca="false">COUNTIF('Employee Data'!C3:C202,"Finance")</f>
        <v>38</v>
      </c>
      <c r="C12" s="34"/>
    </row>
    <row r="13" customFormat="false" ht="15.75" hidden="false" customHeight="true" outlineLevel="0" collapsed="false">
      <c r="A13" s="29" t="s">
        <v>452</v>
      </c>
      <c r="B13" s="30" t="n">
        <f aca="false">COUNTIF('Employee Data'!C3:C202,"Operations")</f>
        <v>45</v>
      </c>
      <c r="C13" s="31"/>
    </row>
    <row r="14" customFormat="false" ht="15.75" hidden="false" customHeight="true" outlineLevel="0" collapsed="false">
      <c r="A14" s="32" t="s">
        <v>453</v>
      </c>
      <c r="B14" s="33" t="n">
        <f aca="false">COUNTIF('Employee Data'!C3:C202,"People &amp; Culture")</f>
        <v>27</v>
      </c>
      <c r="C14" s="34"/>
    </row>
    <row r="15" customFormat="false" ht="15.75" hidden="false" customHeight="true" outlineLevel="0" collapsed="false">
      <c r="A15" s="29" t="s">
        <v>454</v>
      </c>
      <c r="B15" s="30" t="n">
        <f aca="false">COUNTIF('Employee Data'!D3:D202,"Senior")</f>
        <v>45</v>
      </c>
      <c r="C15" s="31"/>
    </row>
    <row r="16" customFormat="false" ht="15.75" hidden="false" customHeight="true" outlineLevel="0" collapsed="false">
      <c r="A16" s="32" t="s">
        <v>455</v>
      </c>
      <c r="B16" s="33" t="n">
        <f aca="false">COUNTIF('Employee Data'!F3:F202,"Remote")</f>
        <v>72</v>
      </c>
      <c r="C16" s="34"/>
    </row>
    <row r="17" customFormat="false" ht="15.75" hidden="false" customHeight="true" outlineLevel="0" collapsed="false">
      <c r="A17" s="29" t="s">
        <v>456</v>
      </c>
      <c r="B17" s="30" t="n">
        <f aca="false">COUNTIF('Employee Data'!F3:F202,"Hybrid")</f>
        <v>87</v>
      </c>
      <c r="C17" s="31"/>
    </row>
    <row r="18" customFormat="false" ht="15.75" hidden="false" customHeight="true" outlineLevel="0" collapsed="false">
      <c r="A18" s="32" t="s">
        <v>457</v>
      </c>
      <c r="B18" s="33" t="n">
        <f aca="false">COUNTIF('Employee Data'!L3:L202,"&gt;=4")</f>
        <v>81</v>
      </c>
      <c r="C18" s="34"/>
    </row>
    <row r="19" customFormat="false" ht="15.75" hidden="false" customHeight="true" outlineLevel="0" collapsed="false">
      <c r="A19" s="29" t="s">
        <v>458</v>
      </c>
      <c r="B19" s="30" t="n">
        <f aca="false">COUNTIF('Employee Data'!O3:O202,"Yes")</f>
        <v>31</v>
      </c>
      <c r="C19" s="31"/>
    </row>
    <row r="21" customFormat="false" ht="18" hidden="false" customHeight="true" outlineLevel="0" collapsed="false">
      <c r="A21" s="28" t="s">
        <v>459</v>
      </c>
      <c r="B21" s="28"/>
      <c r="C21" s="28"/>
    </row>
    <row r="22" customFormat="false" ht="15.75" hidden="false" customHeight="true" outlineLevel="0" collapsed="false">
      <c r="A22" s="32" t="s">
        <v>460</v>
      </c>
      <c r="B22" s="33" t="n">
        <f aca="false">COUNTIFS('Employee Data'!C3:C202,"Technology",'Employee Data'!O3:O202,"Yes")</f>
        <v>13</v>
      </c>
      <c r="C22" s="34" t="s">
        <v>461</v>
      </c>
    </row>
    <row r="23" customFormat="false" ht="15.75" hidden="false" customHeight="true" outlineLevel="0" collapsed="false">
      <c r="A23" s="29" t="s">
        <v>462</v>
      </c>
      <c r="B23" s="30" t="n">
        <f aca="false">COUNTIFS('Employee Data'!G3:G202,"Female",'Employee Data'!D3:D202,"Senior")</f>
        <v>16</v>
      </c>
      <c r="C23" s="31"/>
    </row>
    <row r="24" customFormat="false" ht="15.75" hidden="false" customHeight="true" outlineLevel="0" collapsed="false">
      <c r="A24" s="32" t="s">
        <v>463</v>
      </c>
      <c r="B24" s="33" t="n">
        <f aca="false">COUNTIFS('Employee Data'!G3:G202,"Male",'Employee Data'!D3:D202,"Lead",'Employee Data'!E3:E202,"London")</f>
        <v>7</v>
      </c>
      <c r="C24" s="34"/>
    </row>
    <row r="25" customFormat="false" ht="15.75" hidden="false" customHeight="true" outlineLevel="0" collapsed="false">
      <c r="A25" s="29" t="s">
        <v>464</v>
      </c>
      <c r="B25" s="30" t="n">
        <f aca="false">COUNTIFS('Employee Data'!L3:L202,"&gt;=4",'Employee Data'!O3:O202,"Yes")</f>
        <v>24</v>
      </c>
      <c r="C25" s="31" t="s">
        <v>465</v>
      </c>
    </row>
    <row r="27" customFormat="false" ht="18" hidden="false" customHeight="true" outlineLevel="0" collapsed="false">
      <c r="A27" s="35" t="s">
        <v>466</v>
      </c>
      <c r="B27" s="35"/>
      <c r="C27" s="35"/>
    </row>
    <row r="28" customFormat="false" ht="15.75" hidden="false" customHeight="true" outlineLevel="0" collapsed="false">
      <c r="A28" s="32" t="s">
        <v>467</v>
      </c>
      <c r="B28" s="33" t="n">
        <f aca="false">COUNTA('Employee Data'!B3:B202)</f>
        <v>200</v>
      </c>
      <c r="C28" s="34"/>
    </row>
    <row r="29" customFormat="false" ht="15.75" hidden="false" customHeight="true" outlineLevel="0" collapsed="false">
      <c r="A29" s="29" t="s">
        <v>468</v>
      </c>
      <c r="B29" s="30" t="n">
        <f aca="false">COUNTBLANK('Employee Data'!J3:J202)</f>
        <v>0</v>
      </c>
      <c r="C29" s="31" t="s">
        <v>469</v>
      </c>
    </row>
    <row r="30" customFormat="false" ht="15.75" hidden="false" customHeight="true" outlineLevel="0" collapsed="false">
      <c r="A30" s="32" t="s">
        <v>470</v>
      </c>
      <c r="B30" s="33" t="n">
        <f aca="false">COUNTIFS('Employee Data'!E3:E202,"Manchester",'Employee Data'!F3:F202,"Office")</f>
        <v>9</v>
      </c>
      <c r="C30" s="34"/>
    </row>
    <row r="31" customFormat="false" ht="15.75" hidden="false" customHeight="true" outlineLevel="0" collapsed="false">
      <c r="A31" s="29" t="s">
        <v>471</v>
      </c>
      <c r="B31" s="30" t="n">
        <f aca="false">COUNTIFS('Employee Data'!D3:D202,"Junior",'Employee Data'!O3:O202,"Yes")</f>
        <v>11</v>
      </c>
      <c r="C31" s="31"/>
    </row>
    <row r="32" customFormat="false" ht="15.75" hidden="false" customHeight="true" outlineLevel="0" collapsed="false">
      <c r="A32" s="32" t="s">
        <v>472</v>
      </c>
      <c r="B32" s="33" t="n">
        <f aca="false">COUNTIFS('Employee Data'!F3:F202,"Remote",'Employee Data'!L3:L202,5)</f>
        <v>10</v>
      </c>
      <c r="C32" s="34"/>
    </row>
  </sheetData>
  <mergeCells count="6">
    <mergeCell ref="A1:H1"/>
    <mergeCell ref="A2:H2"/>
    <mergeCell ref="A4:C4"/>
    <mergeCell ref="A9:C9"/>
    <mergeCell ref="A21:C21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8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473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474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475</v>
      </c>
      <c r="B4" s="28"/>
      <c r="C4" s="28"/>
    </row>
    <row r="5" customFormat="false" ht="15.75" hidden="false" customHeight="true" outlineLevel="0" collapsed="false">
      <c r="A5" s="29" t="s">
        <v>476</v>
      </c>
      <c r="B5" s="30" t="n">
        <f aca="false">SUM('Employee Data'!J3:J202)</f>
        <v>12504000</v>
      </c>
      <c r="C5" s="31"/>
    </row>
    <row r="6" customFormat="false" ht="15.75" hidden="false" customHeight="true" outlineLevel="0" collapsed="false">
      <c r="A6" s="32" t="s">
        <v>477</v>
      </c>
      <c r="B6" s="33" t="n">
        <f aca="false">SUMPRODUCT('Employee Data'!J3:J202,'Employee Data'!K3:K202/100)</f>
        <v>1472305</v>
      </c>
      <c r="C6" s="34" t="s">
        <v>478</v>
      </c>
    </row>
    <row r="7" customFormat="false" ht="15.75" hidden="false" customHeight="true" outlineLevel="0" collapsed="false">
      <c r="A7" s="29" t="s">
        <v>479</v>
      </c>
      <c r="B7" s="30" t="n">
        <f aca="false">SUM('Employee Data'!J3:J202)+SUMPRODUCT('Employee Data'!J3:J202,'Employee Data'!K3:K202/100)</f>
        <v>13976305</v>
      </c>
      <c r="C7" s="31"/>
    </row>
    <row r="8" customFormat="false" ht="15.75" hidden="false" customHeight="true" outlineLevel="0" collapsed="false">
      <c r="A8" s="32" t="s">
        <v>480</v>
      </c>
      <c r="B8" s="33" t="n">
        <f aca="false">SUMIF('Employee Data'!O3:O202,"Yes",'Employee Data'!J3:J202)</f>
        <v>1908500</v>
      </c>
      <c r="C8" s="34" t="s">
        <v>481</v>
      </c>
    </row>
    <row r="10" customFormat="false" ht="18" hidden="false" customHeight="true" outlineLevel="0" collapsed="false">
      <c r="A10" s="28" t="s">
        <v>482</v>
      </c>
      <c r="B10" s="28"/>
      <c r="C10" s="28"/>
    </row>
    <row r="11" customFormat="false" ht="15.75" hidden="false" customHeight="true" outlineLevel="0" collapsed="false">
      <c r="A11" s="29" t="s">
        <v>483</v>
      </c>
      <c r="B11" s="30" t="n">
        <f aca="false">SUMIF('Employee Data'!C3:C202,"Technology",'Employee Data'!J3:J202)</f>
        <v>3586500</v>
      </c>
      <c r="C11" s="31"/>
    </row>
    <row r="12" customFormat="false" ht="15.75" hidden="false" customHeight="true" outlineLevel="0" collapsed="false">
      <c r="A12" s="32" t="s">
        <v>484</v>
      </c>
      <c r="B12" s="33" t="n">
        <f aca="false">SUMIF('Employee Data'!C3:C202,"Strategy",'Employee Data'!J3:J202)</f>
        <v>2679000</v>
      </c>
      <c r="C12" s="34"/>
    </row>
    <row r="13" customFormat="false" ht="15.75" hidden="false" customHeight="true" outlineLevel="0" collapsed="false">
      <c r="A13" s="29" t="s">
        <v>485</v>
      </c>
      <c r="B13" s="30" t="n">
        <f aca="false">SUMIF('Employee Data'!C3:C202,"Finance",'Employee Data'!J3:J202)</f>
        <v>2365000</v>
      </c>
      <c r="C13" s="31"/>
    </row>
    <row r="14" customFormat="false" ht="15.75" hidden="false" customHeight="true" outlineLevel="0" collapsed="false">
      <c r="A14" s="32" t="s">
        <v>486</v>
      </c>
      <c r="B14" s="33" t="n">
        <f aca="false">SUMIF('Employee Data'!C3:C202,"Operations",'Employee Data'!J3:J202)</f>
        <v>2515000</v>
      </c>
      <c r="C14" s="34"/>
    </row>
    <row r="15" customFormat="false" ht="15.75" hidden="false" customHeight="true" outlineLevel="0" collapsed="false">
      <c r="A15" s="29" t="s">
        <v>487</v>
      </c>
      <c r="B15" s="30" t="n">
        <f aca="false">SUMIF('Employee Data'!C3:C202,"People &amp; Culture",'Employee Data'!J3:J202)</f>
        <v>1358500</v>
      </c>
      <c r="C15" s="31"/>
    </row>
    <row r="17" customFormat="false" ht="18" hidden="false" customHeight="true" outlineLevel="0" collapsed="false">
      <c r="A17" s="28" t="s">
        <v>488</v>
      </c>
      <c r="B17" s="28"/>
      <c r="C17" s="28"/>
    </row>
    <row r="18" customFormat="false" ht="15.75" hidden="false" customHeight="true" outlineLevel="0" collapsed="false">
      <c r="A18" s="32" t="s">
        <v>489</v>
      </c>
      <c r="B18" s="33" t="n">
        <f aca="false">SUMIF('Employee Data'!D3:D202,"Senior",'Employee Data'!J3:J202)</f>
        <v>3671500</v>
      </c>
      <c r="C18" s="34"/>
    </row>
    <row r="19" customFormat="false" ht="15.75" hidden="false" customHeight="true" outlineLevel="0" collapsed="false">
      <c r="A19" s="29" t="s">
        <v>490</v>
      </c>
      <c r="B19" s="30" t="n">
        <f aca="false">SUMIF('Employee Data'!F3:F202,"Remote",'Employee Data'!J3:J202)</f>
        <v>4262500</v>
      </c>
      <c r="C19" s="31"/>
    </row>
    <row r="21" customFormat="false" ht="18" hidden="false" customHeight="true" outlineLevel="0" collapsed="false">
      <c r="A21" s="28" t="s">
        <v>491</v>
      </c>
      <c r="B21" s="28"/>
      <c r="C21" s="28"/>
    </row>
    <row r="22" customFormat="false" ht="15.75" hidden="false" customHeight="true" outlineLevel="0" collapsed="false">
      <c r="A22" s="32" t="s">
        <v>492</v>
      </c>
      <c r="B22" s="33" t="n">
        <f aca="false">SUMIFS('Employee Data'!J3:J202,'Employee Data'!G3:G202,"Female",'Employee Data'!D3:D202,"Senior")</f>
        <v>1256000</v>
      </c>
      <c r="C22" s="34"/>
    </row>
    <row r="23" customFormat="false" ht="15.75" hidden="false" customHeight="true" outlineLevel="0" collapsed="false">
      <c r="A23" s="29" t="s">
        <v>493</v>
      </c>
      <c r="B23" s="30" t="n">
        <f aca="false">SUMIFS('Employee Data'!J3:J202,'Employee Data'!F3:F202,"Hybrid",'Employee Data'!C3:C202,"Technology")</f>
        <v>1636000</v>
      </c>
      <c r="C23" s="31"/>
    </row>
    <row r="24" customFormat="false" ht="15.75" hidden="false" customHeight="true" outlineLevel="0" collapsed="false">
      <c r="A24" s="32" t="s">
        <v>494</v>
      </c>
      <c r="B24" s="33" t="n">
        <f aca="false">SUMPRODUCT(('Employee Data'!L3:L202&gt;=4)*'Employee Data'!J3:J202*'Employee Data'!K3:K202/100)</f>
        <v>733994</v>
      </c>
      <c r="C24" s="34" t="s">
        <v>495</v>
      </c>
    </row>
    <row r="25" customFormat="false" ht="15.75" hidden="false" customHeight="true" outlineLevel="0" collapsed="false">
      <c r="A25" s="29" t="s">
        <v>496</v>
      </c>
      <c r="B25" s="30" t="n">
        <f aca="false">SUMIFS('Employee Data'!J3:J202,'Employee Data'!C3:C202,"Technology",'Employee Data'!O3:O202,"Yes")</f>
        <v>820000</v>
      </c>
      <c r="C25" s="31"/>
    </row>
    <row r="27" customFormat="false" ht="18" hidden="false" customHeight="true" outlineLevel="0" collapsed="false">
      <c r="A27" s="28" t="s">
        <v>497</v>
      </c>
      <c r="B27" s="28"/>
      <c r="C27" s="28"/>
    </row>
    <row r="28" customFormat="false" ht="15.75" hidden="false" customHeight="true" outlineLevel="0" collapsed="false">
      <c r="A28" s="32" t="s">
        <v>498</v>
      </c>
      <c r="B28" s="33" t="n">
        <f aca="false">AVERAGE('Employee Data'!J3:J202)</f>
        <v>62520</v>
      </c>
      <c r="C28" s="34"/>
    </row>
    <row r="29" customFormat="false" ht="15.75" hidden="false" customHeight="true" outlineLevel="0" collapsed="false">
      <c r="A29" s="29" t="s">
        <v>499</v>
      </c>
      <c r="B29" s="30" t="n">
        <f aca="false">AVERAGEIF('Employee Data'!C3:C202,"Technology",'Employee Data'!J3:J202)</f>
        <v>71730</v>
      </c>
      <c r="C29" s="31"/>
    </row>
    <row r="30" customFormat="false" ht="15.75" hidden="false" customHeight="true" outlineLevel="0" collapsed="false">
      <c r="A30" s="32" t="s">
        <v>500</v>
      </c>
      <c r="B30" s="33" t="n">
        <f aca="false">AVERAGEIF('Employee Data'!C3:C202,"Operations",'Employee Data'!J3:J202)</f>
        <v>55888.8888888889</v>
      </c>
      <c r="C30" s="34"/>
    </row>
  </sheetData>
  <mergeCells count="7">
    <mergeCell ref="A1:H1"/>
    <mergeCell ref="A2:H2"/>
    <mergeCell ref="A4:C4"/>
    <mergeCell ref="A10:C10"/>
    <mergeCell ref="A17:C17"/>
    <mergeCell ref="A21:C21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8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501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502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503</v>
      </c>
      <c r="B4" s="28"/>
      <c r="C4" s="28"/>
    </row>
    <row r="5" customFormat="false" ht="15.75" hidden="false" customHeight="true" outlineLevel="0" collapsed="false">
      <c r="A5" s="29" t="s">
        <v>504</v>
      </c>
      <c r="B5" s="30" t="n">
        <f aca="false">AVERAGE('Employee Data'!J3:J202)</f>
        <v>62520</v>
      </c>
      <c r="C5" s="31"/>
    </row>
    <row r="6" customFormat="false" ht="15.75" hidden="false" customHeight="true" outlineLevel="0" collapsed="false">
      <c r="A6" s="32" t="s">
        <v>505</v>
      </c>
      <c r="B6" s="33" t="n">
        <f aca="false">MEDIAN('Employee Data'!J3:J202)</f>
        <v>54750</v>
      </c>
      <c r="C6" s="34" t="s">
        <v>506</v>
      </c>
    </row>
    <row r="7" customFormat="false" ht="15.75" hidden="false" customHeight="true" outlineLevel="0" collapsed="false">
      <c r="A7" s="29" t="s">
        <v>507</v>
      </c>
      <c r="B7" s="30" t="n">
        <f aca="false">AVERAGE('Employee Data'!J3:J202)-MEDIAN('Employee Data'!J3:J202)</f>
        <v>7770</v>
      </c>
      <c r="C7" s="31" t="s">
        <v>508</v>
      </c>
    </row>
    <row r="8" customFormat="false" ht="15.75" hidden="false" customHeight="true" outlineLevel="0" collapsed="false">
      <c r="A8" s="32" t="s">
        <v>509</v>
      </c>
      <c r="B8" s="33" t="n">
        <f aca="false">AVERAGE('Employee Data'!H3:H202)</f>
        <v>30.535</v>
      </c>
      <c r="C8" s="34"/>
    </row>
    <row r="9" customFormat="false" ht="15.75" hidden="false" customHeight="true" outlineLevel="0" collapsed="false">
      <c r="A9" s="29" t="s">
        <v>510</v>
      </c>
      <c r="B9" s="30" t="n">
        <f aca="false">AVERAGE('Employee Data'!I3:I202)</f>
        <v>3.9555</v>
      </c>
      <c r="C9" s="31"/>
    </row>
    <row r="10" customFormat="false" ht="15.75" hidden="false" customHeight="true" outlineLevel="0" collapsed="false">
      <c r="A10" s="32" t="s">
        <v>511</v>
      </c>
      <c r="B10" s="33" t="n">
        <f aca="false">MODE('Employee Data'!L3:L202)</f>
        <v>3</v>
      </c>
      <c r="C10" s="34" t="s">
        <v>512</v>
      </c>
    </row>
    <row r="12" customFormat="false" ht="18" hidden="false" customHeight="true" outlineLevel="0" collapsed="false">
      <c r="A12" s="28" t="s">
        <v>513</v>
      </c>
      <c r="B12" s="28"/>
      <c r="C12" s="28"/>
    </row>
    <row r="13" customFormat="false" ht="15.75" hidden="false" customHeight="true" outlineLevel="0" collapsed="false">
      <c r="A13" s="29" t="s">
        <v>514</v>
      </c>
      <c r="B13" s="30" t="n">
        <f aca="false">AVERAGEIF('Employee Data'!G3:G202,"Female",'Employee Data'!J3:J202)</f>
        <v>58555.5555555556</v>
      </c>
      <c r="C13" s="31"/>
    </row>
    <row r="14" customFormat="false" ht="15.75" hidden="false" customHeight="true" outlineLevel="0" collapsed="false">
      <c r="A14" s="32" t="s">
        <v>515</v>
      </c>
      <c r="B14" s="33" t="n">
        <f aca="false">AVERAGEIF('Employee Data'!G3:G202,"Male",'Employee Data'!J3:J202)</f>
        <v>64119.4690265487</v>
      </c>
      <c r="C14" s="34"/>
    </row>
    <row r="15" customFormat="false" ht="15.75" hidden="false" customHeight="true" outlineLevel="0" collapsed="false">
      <c r="A15" s="29" t="s">
        <v>516</v>
      </c>
      <c r="B15" s="30" t="n">
        <f aca="false">(AVERAGEIF('Employee Data'!G3:G202,"Male",'Employee Data'!J3:J202)-AVERAGEIF('Employee Data'!G3:G202,"Female",'Employee Data'!J3:J202))/AVERAGEIF('Employee Data'!G3:G202,"Male",'Employee Data'!J3:J202)</f>
        <v>0.0867741663407939</v>
      </c>
      <c r="C15" s="31" t="s">
        <v>517</v>
      </c>
    </row>
    <row r="17" customFormat="false" ht="18" hidden="false" customHeight="true" outlineLevel="0" collapsed="false">
      <c r="A17" s="28" t="s">
        <v>518</v>
      </c>
      <c r="B17" s="28"/>
      <c r="C17" s="28"/>
    </row>
    <row r="18" customFormat="false" ht="15.75" hidden="false" customHeight="true" outlineLevel="0" collapsed="false">
      <c r="A18" s="32" t="s">
        <v>519</v>
      </c>
      <c r="B18" s="33" t="n">
        <f aca="false">AVERAGEIFS('Employee Data'!J3:J202,'Employee Data'!G3:G202,"Female",'Employee Data'!D3:D202,"Junior")</f>
        <v>32538.4615384615</v>
      </c>
      <c r="C18" s="34"/>
    </row>
    <row r="19" customFormat="false" ht="15.75" hidden="false" customHeight="true" outlineLevel="0" collapsed="false">
      <c r="A19" s="29" t="s">
        <v>520</v>
      </c>
      <c r="B19" s="30" t="n">
        <f aca="false">AVERAGEIFS('Employee Data'!J3:J202,'Employee Data'!G3:G202,"Male",'Employee Data'!D3:D202,"Junior")</f>
        <v>36285.7142857143</v>
      </c>
      <c r="C19" s="31"/>
    </row>
    <row r="20" customFormat="false" ht="15.75" hidden="false" customHeight="true" outlineLevel="0" collapsed="false">
      <c r="A20" s="32" t="s">
        <v>521</v>
      </c>
      <c r="B20" s="33" t="n">
        <f aca="false">AVERAGEIFS('Employee Data'!J3:J202,'Employee Data'!G3:G202,"Female",'Employee Data'!D3:D202,"Mid")</f>
        <v>50185.1851851852</v>
      </c>
      <c r="C20" s="34"/>
    </row>
    <row r="21" customFormat="false" ht="15.75" hidden="false" customHeight="true" outlineLevel="0" collapsed="false">
      <c r="A21" s="29" t="s">
        <v>522</v>
      </c>
      <c r="B21" s="30" t="n">
        <f aca="false">AVERAGEIFS('Employee Data'!J3:J202,'Employee Data'!G3:G202,"Male",'Employee Data'!D3:D202,"Mid")</f>
        <v>54743.2432432432</v>
      </c>
      <c r="C21" s="31"/>
    </row>
    <row r="22" customFormat="false" ht="15.75" hidden="false" customHeight="true" outlineLevel="0" collapsed="false">
      <c r="A22" s="32" t="s">
        <v>523</v>
      </c>
      <c r="B22" s="33" t="n">
        <f aca="false">AVERAGEIFS('Employee Data'!J3:J202,'Employee Data'!G3:G202,"Female",'Employee Data'!D3:D202,"Senior")</f>
        <v>78500</v>
      </c>
      <c r="C22" s="34"/>
    </row>
    <row r="23" customFormat="false" ht="15.75" hidden="false" customHeight="true" outlineLevel="0" collapsed="false">
      <c r="A23" s="29" t="s">
        <v>524</v>
      </c>
      <c r="B23" s="30" t="n">
        <f aca="false">AVERAGEIFS('Employee Data'!J3:J202,'Employee Data'!G3:G202,"Male",'Employee Data'!D3:D202,"Senior")</f>
        <v>83125</v>
      </c>
      <c r="C23" s="31"/>
    </row>
    <row r="24" customFormat="false" ht="15.75" hidden="false" customHeight="true" outlineLevel="0" collapsed="false">
      <c r="A24" s="32" t="s">
        <v>525</v>
      </c>
      <c r="B24" s="33" t="n">
        <f aca="false">AVERAGEIFS('Employee Data'!J3:J202,'Employee Data'!G3:G202,"Female",'Employee Data'!D3:D202,"Lead")</f>
        <v>100250</v>
      </c>
      <c r="C24" s="34"/>
    </row>
    <row r="25" customFormat="false" ht="15.75" hidden="false" customHeight="true" outlineLevel="0" collapsed="false">
      <c r="A25" s="29" t="s">
        <v>526</v>
      </c>
      <c r="B25" s="30" t="n">
        <f aca="false">AVERAGEIFS('Employee Data'!J3:J202,'Employee Data'!G3:G202,"Male",'Employee Data'!D3:D202,"Lead")</f>
        <v>115000</v>
      </c>
      <c r="C25" s="31"/>
    </row>
    <row r="26" customFormat="false" ht="15.75" hidden="false" customHeight="true" outlineLevel="0" collapsed="false">
      <c r="A26" s="32" t="s">
        <v>527</v>
      </c>
      <c r="B26" s="33" t="n">
        <f aca="false">AVERAGEIFS('Employee Data'!J3:J202,'Employee Data'!G3:G202,"Female",'Employee Data'!D3:D202,"Director")</f>
        <v>141750</v>
      </c>
      <c r="C26" s="34"/>
    </row>
    <row r="27" customFormat="false" ht="15.75" hidden="false" customHeight="true" outlineLevel="0" collapsed="false">
      <c r="A27" s="29" t="s">
        <v>528</v>
      </c>
      <c r="B27" s="30" t="n">
        <f aca="false">AVERAGEIFS('Employee Data'!J3:J202,'Employee Data'!G3:G202,"Male",'Employee Data'!D3:D202,"Director")</f>
        <v>140500</v>
      </c>
      <c r="C27" s="31"/>
    </row>
  </sheetData>
  <mergeCells count="5">
    <mergeCell ref="A1:H1"/>
    <mergeCell ref="A2:H2"/>
    <mergeCell ref="A4:C4"/>
    <mergeCell ref="A12:C1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8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529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530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531</v>
      </c>
      <c r="B4" s="28"/>
      <c r="C4" s="28"/>
    </row>
    <row r="5" customFormat="false" ht="15.75" hidden="false" customHeight="true" outlineLevel="0" collapsed="false">
      <c r="A5" s="29" t="s">
        <v>532</v>
      </c>
      <c r="B5" s="30" t="n">
        <f aca="false">MIN('Employee Data'!J3:J202)</f>
        <v>25000</v>
      </c>
      <c r="C5" s="31"/>
    </row>
    <row r="6" customFormat="false" ht="15.75" hidden="false" customHeight="true" outlineLevel="0" collapsed="false">
      <c r="A6" s="32" t="s">
        <v>533</v>
      </c>
      <c r="B6" s="33" t="n">
        <f aca="false">MAX('Employee Data'!J3:J202)</f>
        <v>149500</v>
      </c>
      <c r="C6" s="34"/>
    </row>
    <row r="7" customFormat="false" ht="15.75" hidden="false" customHeight="true" outlineLevel="0" collapsed="false">
      <c r="A7" s="29" t="s">
        <v>534</v>
      </c>
      <c r="B7" s="30" t="n">
        <f aca="false">MAX('Employee Data'!J3:J202)-MIN('Employee Data'!J3:J202)</f>
        <v>124500</v>
      </c>
      <c r="C7" s="31"/>
    </row>
    <row r="8" customFormat="false" ht="15.75" hidden="false" customHeight="true" outlineLevel="0" collapsed="false">
      <c r="A8" s="32" t="s">
        <v>535</v>
      </c>
      <c r="B8" s="33" t="n">
        <f aca="false">STDEV('Employee Data'!J3:J202)</f>
        <v>28818.2155543797</v>
      </c>
      <c r="C8" s="34" t="s">
        <v>536</v>
      </c>
    </row>
    <row r="9" customFormat="false" ht="15.75" hidden="false" customHeight="true" outlineLevel="0" collapsed="false">
      <c r="A9" s="29" t="s">
        <v>537</v>
      </c>
      <c r="B9" s="30" t="n">
        <f aca="false">STDEV('Employee Data'!J3:J202)/AVERAGE('Employee Data'!J3:J202)</f>
        <v>0.460943946807097</v>
      </c>
      <c r="C9" s="31" t="s">
        <v>538</v>
      </c>
    </row>
    <row r="11" customFormat="false" ht="18" hidden="false" customHeight="true" outlineLevel="0" collapsed="false">
      <c r="A11" s="28" t="s">
        <v>539</v>
      </c>
      <c r="B11" s="28"/>
      <c r="C11" s="28"/>
    </row>
    <row r="12" customFormat="false" ht="15.75" hidden="false" customHeight="true" outlineLevel="0" collapsed="false">
      <c r="A12" s="32" t="s">
        <v>540</v>
      </c>
      <c r="B12" s="33" t="n">
        <f aca="false">AVERAGE('Employee Data'!J3:J202)+2*STDEV('Employee Data'!J3:J202)</f>
        <v>120156.431108759</v>
      </c>
      <c r="C12" s="34"/>
    </row>
    <row r="13" customFormat="false" ht="15.75" hidden="false" customHeight="true" outlineLevel="0" collapsed="false">
      <c r="A13" s="29" t="s">
        <v>541</v>
      </c>
      <c r="B13" s="30" t="n">
        <f aca="false">AVERAGE('Employee Data'!J3:J202)-2*STDEV('Employee Data'!J3:J202)</f>
        <v>4883.56889124055</v>
      </c>
      <c r="C13" s="31"/>
    </row>
    <row r="14" customFormat="false" ht="15.75" hidden="false" customHeight="true" outlineLevel="0" collapsed="false">
      <c r="A14" s="32" t="s">
        <v>542</v>
      </c>
      <c r="B14" s="33" t="n">
        <f aca="false">COUNTIF('Employee Data'!J3:J202,"&gt;"&amp;(AVERAGE('Employee Data'!J3:J202)+2*STDEV('Employee Data'!J3:J202)))</f>
        <v>10</v>
      </c>
      <c r="C14" s="34"/>
    </row>
    <row r="16" customFormat="false" ht="18" hidden="false" customHeight="true" outlineLevel="0" collapsed="false">
      <c r="A16" s="28" t="s">
        <v>543</v>
      </c>
      <c r="B16" s="28"/>
      <c r="C16" s="28"/>
    </row>
    <row r="17" customFormat="false" ht="15.75" hidden="false" customHeight="true" outlineLevel="0" collapsed="false">
      <c r="A17" s="29" t="s">
        <v>544</v>
      </c>
      <c r="B17" s="30" t="n">
        <f aca="false">STDEV(IF('Employee Data'!C3:C202="Technology",'Employee Data'!J3:J202))</f>
        <v>28818.2155543797</v>
      </c>
      <c r="C17" s="31" t="s">
        <v>545</v>
      </c>
    </row>
    <row r="18" customFormat="false" ht="15.75" hidden="false" customHeight="true" outlineLevel="0" collapsed="false">
      <c r="A18" s="32" t="s">
        <v>546</v>
      </c>
      <c r="B18" s="33" t="str">
        <f aca="false">IFERROR(STDEV(IF('Employee Data'!C3:C202="Strategy",'Employee Data'!J3:J202)),"—")</f>
        <v>—</v>
      </c>
      <c r="C18" s="34" t="s">
        <v>545</v>
      </c>
    </row>
    <row r="19" customFormat="false" ht="15.75" hidden="false" customHeight="true" outlineLevel="0" collapsed="false">
      <c r="A19" s="29" t="s">
        <v>547</v>
      </c>
      <c r="B19" s="30" t="str">
        <f aca="false">IFERROR(STDEV(IF('Employee Data'!C3:C202="Finance",'Employee Data'!J3:J202)),"—")</f>
        <v>—</v>
      </c>
      <c r="C19" s="31" t="s">
        <v>545</v>
      </c>
    </row>
    <row r="20" customFormat="false" ht="15.75" hidden="false" customHeight="true" outlineLevel="0" collapsed="false">
      <c r="A20" s="32" t="s">
        <v>548</v>
      </c>
      <c r="B20" s="33" t="str">
        <f aca="false">IFERROR(STDEV(IF('Employee Data'!C3:C202="Operations",'Employee Data'!J3:J202)),"—")</f>
        <v>—</v>
      </c>
      <c r="C20" s="34" t="s">
        <v>545</v>
      </c>
    </row>
    <row r="21" customFormat="false" ht="15.75" hidden="false" customHeight="true" outlineLevel="0" collapsed="false">
      <c r="A21" s="29" t="s">
        <v>549</v>
      </c>
      <c r="B21" s="30" t="str">
        <f aca="false">IFERROR(STDEV(IF('Employee Data'!C3:C202="People &amp; Culture",'Employee Data'!J3:J202)),"—")</f>
        <v>—</v>
      </c>
      <c r="C21" s="31" t="s">
        <v>545</v>
      </c>
    </row>
  </sheetData>
  <mergeCells count="5">
    <mergeCell ref="A1:H1"/>
    <mergeCell ref="A2:H2"/>
    <mergeCell ref="A4:C4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8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550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551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552</v>
      </c>
      <c r="B4" s="28"/>
      <c r="C4" s="28"/>
    </row>
    <row r="5" customFormat="false" ht="15.75" hidden="false" customHeight="true" outlineLevel="0" collapsed="false">
      <c r="A5" s="29" t="s">
        <v>553</v>
      </c>
      <c r="B5" s="30" t="n">
        <f aca="false">COUNTIF('Employee Data'!O3:O202,"Yes")/COUNTA('Employee Data'!B3:B202)</f>
        <v>0.155</v>
      </c>
      <c r="C5" s="31" t="s">
        <v>554</v>
      </c>
    </row>
    <row r="6" customFormat="false" ht="15.75" hidden="false" customHeight="true" outlineLevel="0" collapsed="false">
      <c r="A6" s="32" t="s">
        <v>555</v>
      </c>
      <c r="B6" s="33" t="n">
        <f aca="false">COUNTIFS('Employee Data'!C3:C202,"Technology",'Employee Data'!O3:O202,"Yes")/COUNTIF('Employee Data'!C3:C202,"Technology")</f>
        <v>0.26</v>
      </c>
      <c r="C6" s="34" t="s">
        <v>556</v>
      </c>
    </row>
    <row r="7" customFormat="false" ht="15.75" hidden="false" customHeight="true" outlineLevel="0" collapsed="false">
      <c r="A7" s="29" t="s">
        <v>557</v>
      </c>
      <c r="B7" s="30" t="n">
        <f aca="false">COUNTIFS('Employee Data'!C3:C202,"Strategy",'Employee Data'!O3:O202,"Yes")/COUNTIF('Employee Data'!C3:C202,"Strategy")</f>
        <v>0.15</v>
      </c>
      <c r="C7" s="31" t="s">
        <v>558</v>
      </c>
    </row>
    <row r="8" customFormat="false" ht="15.75" hidden="false" customHeight="true" outlineLevel="0" collapsed="false">
      <c r="A8" s="32" t="s">
        <v>559</v>
      </c>
      <c r="B8" s="33" t="n">
        <f aca="false">COUNTIFS('Employee Data'!C3:C202,"Finance",'Employee Data'!O3:O202,"Yes")/COUNTIF('Employee Data'!C3:C202,"Finance")</f>
        <v>0.131578947368421</v>
      </c>
      <c r="C8" s="34" t="s">
        <v>558</v>
      </c>
    </row>
    <row r="9" customFormat="false" ht="15.75" hidden="false" customHeight="true" outlineLevel="0" collapsed="false">
      <c r="A9" s="29" t="s">
        <v>560</v>
      </c>
      <c r="B9" s="30" t="n">
        <f aca="false">COUNTIFS('Employee Data'!C3:C202,"Operations",'Employee Data'!O3:O202,"Yes")/COUNTIF('Employee Data'!C3:C202,"Operations")</f>
        <v>0.0666666666666667</v>
      </c>
      <c r="C9" s="31" t="s">
        <v>561</v>
      </c>
    </row>
    <row r="10" customFormat="false" ht="15.75" hidden="false" customHeight="true" outlineLevel="0" collapsed="false">
      <c r="A10" s="32" t="s">
        <v>562</v>
      </c>
      <c r="B10" s="33" t="n">
        <f aca="false">COUNTIFS('Employee Data'!C3:C202,"People &amp; Culture",'Employee Data'!O3:O202,"Yes")/COUNTIF('Employee Data'!C3:C202,"People &amp; Culture")</f>
        <v>0.148148148148148</v>
      </c>
      <c r="C10" s="34" t="s">
        <v>558</v>
      </c>
    </row>
    <row r="12" customFormat="false" ht="18" hidden="false" customHeight="true" outlineLevel="0" collapsed="false">
      <c r="A12" s="28" t="s">
        <v>563</v>
      </c>
      <c r="B12" s="28"/>
      <c r="C12" s="28"/>
    </row>
    <row r="13" customFormat="false" ht="15.75" hidden="false" customHeight="true" outlineLevel="0" collapsed="false">
      <c r="A13" s="29" t="s">
        <v>564</v>
      </c>
      <c r="B13" s="30" t="n">
        <f aca="false">AVERAGEIF('Employee Data'!O3:O202,"Yes",'Employee Data'!L3:L202)</f>
        <v>4</v>
      </c>
      <c r="C13" s="31" t="s">
        <v>565</v>
      </c>
    </row>
    <row r="14" customFormat="false" ht="15.75" hidden="false" customHeight="true" outlineLevel="0" collapsed="false">
      <c r="A14" s="32" t="s">
        <v>566</v>
      </c>
      <c r="B14" s="33" t="n">
        <f aca="false">AVERAGEIF('Employee Data'!O3:O202,"No",'Employee Data'!L3:L202)</f>
        <v>3.24852071005917</v>
      </c>
      <c r="C14" s="34" t="s">
        <v>567</v>
      </c>
    </row>
    <row r="15" customFormat="false" ht="15.75" hidden="false" customHeight="true" outlineLevel="0" collapsed="false">
      <c r="A15" s="29" t="s">
        <v>568</v>
      </c>
      <c r="B15" s="30" t="n">
        <f aca="false">AVERAGEIF('Employee Data'!O3:O202,"Yes",'Employee Data'!I3:I202)</f>
        <v>3.5</v>
      </c>
      <c r="C15" s="31"/>
    </row>
    <row r="16" customFormat="false" ht="15.75" hidden="false" customHeight="true" outlineLevel="0" collapsed="false">
      <c r="A16" s="32" t="s">
        <v>569</v>
      </c>
      <c r="B16" s="33" t="n">
        <f aca="false">AVERAGEIFS('Employee Data'!L3:L202,'Employee Data'!C3:C202,"Technology",'Employee Data'!O3:O202,"Yes")</f>
        <v>4</v>
      </c>
      <c r="C16" s="34"/>
    </row>
    <row r="17" customFormat="false" ht="15.75" hidden="false" customHeight="true" outlineLevel="0" collapsed="false">
      <c r="A17" s="29" t="s">
        <v>570</v>
      </c>
      <c r="B17" s="30" t="n">
        <f aca="false">COUNTIFS('Employee Data'!L3:L202,"&gt;=4",'Employee Data'!O3:O202,"Yes")</f>
        <v>24</v>
      </c>
      <c r="C17" s="31"/>
    </row>
    <row r="19" customFormat="false" ht="18" hidden="false" customHeight="true" outlineLevel="0" collapsed="false">
      <c r="A19" s="28" t="s">
        <v>571</v>
      </c>
      <c r="B19" s="28"/>
      <c r="C19" s="28"/>
    </row>
    <row r="20" customFormat="false" ht="15.75" hidden="false" customHeight="true" outlineLevel="0" collapsed="false">
      <c r="A20" s="32" t="s">
        <v>480</v>
      </c>
      <c r="B20" s="33" t="n">
        <f aca="false">SUMIF('Employee Data'!O3:O202,"Yes",'Employee Data'!J3:J202)</f>
        <v>1908500</v>
      </c>
      <c r="C20" s="34"/>
    </row>
    <row r="21" customFormat="false" ht="15.75" hidden="false" customHeight="true" outlineLevel="0" collapsed="false">
      <c r="A21" s="29" t="s">
        <v>572</v>
      </c>
      <c r="B21" s="30" t="n">
        <f aca="false">SUMIF('Employee Data'!O3:O202,"Yes",'Employee Data'!J3:J202)*0.5</f>
        <v>954250</v>
      </c>
      <c r="C21" s="31"/>
    </row>
    <row r="22" customFormat="false" ht="15.75" hidden="false" customHeight="true" outlineLevel="0" collapsed="false">
      <c r="A22" s="32" t="s">
        <v>573</v>
      </c>
      <c r="B22" s="33" t="n">
        <f aca="false">SUMIF('Employee Data'!O3:O202,"Yes",'Employee Data'!J3:J202)*2</f>
        <v>3817000</v>
      </c>
      <c r="C22" s="34"/>
    </row>
  </sheetData>
  <mergeCells count="5">
    <mergeCell ref="A1:H1"/>
    <mergeCell ref="A2:H2"/>
    <mergeCell ref="A4:C4"/>
    <mergeCell ref="A12:C1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8"/>
    <col collapsed="false" customWidth="true" hidden="false" outlineLevel="0" max="3" min="3" style="1" width="46"/>
  </cols>
  <sheetData>
    <row r="1" customFormat="false" ht="27.75" hidden="false" customHeight="true" outlineLevel="0" collapsed="false">
      <c r="A1" s="2" t="s">
        <v>574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575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576</v>
      </c>
      <c r="B4" s="28"/>
      <c r="C4" s="28"/>
    </row>
    <row r="5" customFormat="false" ht="15.75" hidden="false" customHeight="true" outlineLevel="0" collapsed="false">
      <c r="A5" s="29" t="s">
        <v>577</v>
      </c>
      <c r="B5" s="30" t="n">
        <f aca="false">CORREL('Employee Data'!I3:I202,'Employee Data'!J3:J202)</f>
        <v>0.862556923239373</v>
      </c>
      <c r="C5" s="31" t="s">
        <v>578</v>
      </c>
    </row>
    <row r="6" customFormat="false" ht="15.75" hidden="false" customHeight="true" outlineLevel="0" collapsed="false">
      <c r="A6" s="32" t="s">
        <v>579</v>
      </c>
      <c r="B6" s="33" t="n">
        <f aca="false">CORREL('Employee Data'!L3:L202,'Employee Data'!J3:J202)</f>
        <v>0.267098132967976</v>
      </c>
      <c r="C6" s="34" t="s">
        <v>580</v>
      </c>
    </row>
    <row r="7" customFormat="false" ht="15.75" hidden="false" customHeight="true" outlineLevel="0" collapsed="false">
      <c r="A7" s="29" t="s">
        <v>581</v>
      </c>
      <c r="B7" s="30" t="n">
        <f aca="false">CORREL('Employee Data'!M3:M202,'Employee Data'!L3:L202)</f>
        <v>0.313322275912535</v>
      </c>
      <c r="C7" s="31" t="s">
        <v>582</v>
      </c>
    </row>
    <row r="8" customFormat="false" ht="15.75" hidden="false" customHeight="true" outlineLevel="0" collapsed="false">
      <c r="A8" s="32" t="s">
        <v>583</v>
      </c>
      <c r="B8" s="33" t="n">
        <f aca="false">CORREL('Employee Data'!H3:H202,'Employee Data'!J3:J202)</f>
        <v>0.841630306893196</v>
      </c>
      <c r="C8" s="34"/>
    </row>
    <row r="10" customFormat="false" ht="18" hidden="false" customHeight="true" outlineLevel="0" collapsed="false">
      <c r="A10" s="28" t="s">
        <v>584</v>
      </c>
      <c r="B10" s="28"/>
      <c r="C10" s="28"/>
    </row>
    <row r="11" customFormat="false" ht="15.75" hidden="false" customHeight="true" outlineLevel="0" collapsed="false">
      <c r="A11" s="29" t="s">
        <v>585</v>
      </c>
      <c r="B11" s="30" t="n">
        <f aca="false">CORREL(IF('Employee Data'!D3:D202="Senior",'Employee Data'!I3:I202),IF('Employee Data'!D3:D202="Senior",'Employee Data'!J3:J202))</f>
        <v>0.444821132851109</v>
      </c>
      <c r="C11" s="31" t="s">
        <v>586</v>
      </c>
    </row>
    <row r="12" customFormat="false" ht="15.75" hidden="false" customHeight="true" outlineLevel="0" collapsed="false">
      <c r="A12" s="32" t="s">
        <v>587</v>
      </c>
      <c r="B12" s="33" t="n">
        <f aca="false">CORREL(IF('Employee Data'!D3:D202="Senior",'Employee Data'!L3:L202),IF('Employee Data'!D3:D202="Senior",'Employee Data'!J3:J202))</f>
        <v>0.613458213423665</v>
      </c>
      <c r="C12" s="34" t="s">
        <v>588</v>
      </c>
    </row>
    <row r="14" customFormat="false" ht="18" hidden="false" customHeight="true" outlineLevel="0" collapsed="false">
      <c r="A14" s="35" t="s">
        <v>589</v>
      </c>
      <c r="B14" s="35"/>
      <c r="C14" s="35"/>
    </row>
    <row r="15" customFormat="false" ht="15.75" hidden="false" customHeight="true" outlineLevel="0" collapsed="false">
      <c r="A15" s="36" t="s">
        <v>590</v>
      </c>
      <c r="B15" s="36" t="s">
        <v>591</v>
      </c>
      <c r="C15" s="36" t="s">
        <v>592</v>
      </c>
    </row>
    <row r="16" customFormat="false" ht="15.75" hidden="false" customHeight="true" outlineLevel="0" collapsed="false">
      <c r="A16" s="37" t="s">
        <v>593</v>
      </c>
      <c r="B16" s="37" t="s">
        <v>594</v>
      </c>
      <c r="C16" s="37" t="s">
        <v>595</v>
      </c>
    </row>
    <row r="17" customFormat="false" ht="15.75" hidden="false" customHeight="true" outlineLevel="0" collapsed="false">
      <c r="A17" s="38" t="s">
        <v>596</v>
      </c>
      <c r="B17" s="38" t="s">
        <v>597</v>
      </c>
      <c r="C17" s="38" t="s">
        <v>598</v>
      </c>
    </row>
    <row r="18" customFormat="false" ht="15.75" hidden="false" customHeight="true" outlineLevel="0" collapsed="false">
      <c r="A18" s="37" t="s">
        <v>599</v>
      </c>
      <c r="B18" s="37" t="s">
        <v>600</v>
      </c>
      <c r="C18" s="37" t="s">
        <v>601</v>
      </c>
    </row>
    <row r="19" customFormat="false" ht="15.75" hidden="false" customHeight="true" outlineLevel="0" collapsed="false">
      <c r="A19" s="38" t="s">
        <v>602</v>
      </c>
      <c r="B19" s="38" t="s">
        <v>603</v>
      </c>
      <c r="C19" s="38" t="s">
        <v>604</v>
      </c>
    </row>
    <row r="20" customFormat="false" ht="15.75" hidden="false" customHeight="true" outlineLevel="0" collapsed="false">
      <c r="A20" s="37" t="s">
        <v>605</v>
      </c>
      <c r="B20" s="37" t="s">
        <v>606</v>
      </c>
      <c r="C20" s="37" t="s">
        <v>607</v>
      </c>
    </row>
  </sheetData>
  <mergeCells count="5">
    <mergeCell ref="A1:H1"/>
    <mergeCell ref="A2:H2"/>
    <mergeCell ref="A4:C4"/>
    <mergeCell ref="A10:C10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4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608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7" t="s">
        <v>609</v>
      </c>
      <c r="B2" s="27"/>
      <c r="C2" s="27"/>
      <c r="D2" s="27"/>
      <c r="E2" s="27"/>
      <c r="F2" s="27"/>
      <c r="G2" s="27"/>
      <c r="H2" s="27"/>
    </row>
    <row r="4" customFormat="false" ht="18" hidden="false" customHeight="true" outlineLevel="0" collapsed="false">
      <c r="A4" s="28" t="s">
        <v>610</v>
      </c>
      <c r="B4" s="28"/>
      <c r="C4" s="28"/>
      <c r="D4" s="28"/>
      <c r="E4" s="28"/>
    </row>
    <row r="5" customFormat="false" ht="15" hidden="false" customHeight="true" outlineLevel="0" collapsed="false">
      <c r="A5" s="39" t="s">
        <v>3</v>
      </c>
      <c r="B5" s="39" t="s">
        <v>611</v>
      </c>
      <c r="C5" s="39" t="s">
        <v>612</v>
      </c>
      <c r="D5" s="39" t="s">
        <v>613</v>
      </c>
      <c r="E5" s="39" t="s">
        <v>614</v>
      </c>
    </row>
    <row r="6" customFormat="false" ht="15.75" hidden="false" customHeight="true" outlineLevel="0" collapsed="false">
      <c r="A6" s="37" t="s">
        <v>19</v>
      </c>
      <c r="B6" s="40" t="n">
        <v>50</v>
      </c>
      <c r="C6" s="40" t="n">
        <v>13</v>
      </c>
      <c r="D6" s="40" t="s">
        <v>615</v>
      </c>
      <c r="E6" s="40" t="s">
        <v>616</v>
      </c>
    </row>
    <row r="7" customFormat="false" ht="15.75" hidden="false" customHeight="true" outlineLevel="0" collapsed="false">
      <c r="A7" s="38" t="s">
        <v>137</v>
      </c>
      <c r="B7" s="41" t="n">
        <v>40</v>
      </c>
      <c r="C7" s="41" t="n">
        <v>6</v>
      </c>
      <c r="D7" s="41" t="s">
        <v>617</v>
      </c>
      <c r="E7" s="41"/>
    </row>
    <row r="8" customFormat="false" ht="15.75" hidden="false" customHeight="true" outlineLevel="0" collapsed="false">
      <c r="A8" s="37" t="s">
        <v>218</v>
      </c>
      <c r="B8" s="40" t="n">
        <v>38</v>
      </c>
      <c r="C8" s="40" t="n">
        <v>5</v>
      </c>
      <c r="D8" s="40" t="s">
        <v>618</v>
      </c>
      <c r="E8" s="40"/>
    </row>
    <row r="9" customFormat="false" ht="15.75" hidden="false" customHeight="true" outlineLevel="0" collapsed="false">
      <c r="A9" s="38" t="s">
        <v>295</v>
      </c>
      <c r="B9" s="41" t="n">
        <v>45</v>
      </c>
      <c r="C9" s="41" t="n">
        <v>3</v>
      </c>
      <c r="D9" s="41" t="s">
        <v>619</v>
      </c>
      <c r="E9" s="41" t="s">
        <v>620</v>
      </c>
    </row>
    <row r="10" customFormat="false" ht="15.75" hidden="false" customHeight="true" outlineLevel="0" collapsed="false">
      <c r="A10" s="37" t="s">
        <v>386</v>
      </c>
      <c r="B10" s="40" t="n">
        <v>27</v>
      </c>
      <c r="C10" s="40" t="n">
        <v>4</v>
      </c>
      <c r="D10" s="40" t="s">
        <v>621</v>
      </c>
      <c r="E10" s="40"/>
    </row>
    <row r="11" customFormat="false" ht="15.75" hidden="false" customHeight="true" outlineLevel="0" collapsed="false">
      <c r="A11" s="42" t="s">
        <v>622</v>
      </c>
      <c r="B11" s="43" t="n">
        <v>200</v>
      </c>
      <c r="C11" s="43" t="n">
        <v>31</v>
      </c>
      <c r="D11" s="43" t="s">
        <v>623</v>
      </c>
      <c r="E11" s="43" t="s">
        <v>624</v>
      </c>
    </row>
    <row r="14" customFormat="false" ht="18" hidden="false" customHeight="true" outlineLevel="0" collapsed="false">
      <c r="A14" s="28" t="s">
        <v>625</v>
      </c>
      <c r="B14" s="28"/>
      <c r="C14" s="28"/>
      <c r="D14" s="28"/>
      <c r="E14" s="28"/>
    </row>
    <row r="15" customFormat="false" ht="15" hidden="false" customHeight="true" outlineLevel="0" collapsed="false">
      <c r="A15" s="39" t="s">
        <v>4</v>
      </c>
      <c r="B15" s="39" t="s">
        <v>32</v>
      </c>
      <c r="C15" s="39" t="s">
        <v>23</v>
      </c>
      <c r="D15" s="39" t="s">
        <v>626</v>
      </c>
      <c r="E15" s="39" t="s">
        <v>627</v>
      </c>
    </row>
    <row r="16" customFormat="false" ht="15.75" hidden="false" customHeight="true" outlineLevel="0" collapsed="false">
      <c r="A16" s="44" t="s">
        <v>112</v>
      </c>
      <c r="B16" s="44" t="s">
        <v>628</v>
      </c>
      <c r="C16" s="44" t="s">
        <v>629</v>
      </c>
      <c r="D16" s="44" t="s">
        <v>630</v>
      </c>
      <c r="E16" s="45"/>
    </row>
    <row r="17" customFormat="false" ht="15.75" hidden="false" customHeight="true" outlineLevel="0" collapsed="false">
      <c r="A17" s="46" t="s">
        <v>79</v>
      </c>
      <c r="B17" s="46" t="s">
        <v>631</v>
      </c>
      <c r="C17" s="46" t="s">
        <v>632</v>
      </c>
      <c r="D17" s="46" t="s">
        <v>633</v>
      </c>
      <c r="E17" s="47"/>
    </row>
    <row r="18" customFormat="false" ht="15.75" hidden="false" customHeight="true" outlineLevel="0" collapsed="false">
      <c r="A18" s="44" t="s">
        <v>53</v>
      </c>
      <c r="B18" s="44" t="s">
        <v>634</v>
      </c>
      <c r="C18" s="44" t="s">
        <v>635</v>
      </c>
      <c r="D18" s="44" t="s">
        <v>636</v>
      </c>
      <c r="E18" s="45"/>
    </row>
    <row r="19" customFormat="false" ht="15.75" hidden="false" customHeight="true" outlineLevel="0" collapsed="false">
      <c r="A19" s="46" t="s">
        <v>35</v>
      </c>
      <c r="B19" s="46" t="s">
        <v>637</v>
      </c>
      <c r="C19" s="46" t="s">
        <v>638</v>
      </c>
      <c r="D19" s="46" t="s">
        <v>639</v>
      </c>
      <c r="E19" s="47" t="s">
        <v>640</v>
      </c>
    </row>
    <row r="20" customFormat="false" ht="15.75" hidden="false" customHeight="true" outlineLevel="0" collapsed="false">
      <c r="A20" s="44" t="s">
        <v>20</v>
      </c>
      <c r="B20" s="44" t="s">
        <v>641</v>
      </c>
      <c r="C20" s="44" t="s">
        <v>642</v>
      </c>
      <c r="D20" s="44" t="s">
        <v>643</v>
      </c>
      <c r="E20" s="48" t="s">
        <v>644</v>
      </c>
    </row>
  </sheetData>
  <mergeCells count="4">
    <mergeCell ref="A1:H1"/>
    <mergeCell ref="A2:H2"/>
    <mergeCell ref="A4:E4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2026-02-21T04:58:37Z</dcterms:created>
  <dc:creator>openpyxl</dc:creator>
  <dc:description/>
  <dc:language>en-US</dc:language>
  <cp:lastModifiedBy/>
  <dcterms:modified xsi:type="dcterms:W3CDTF">2026-02-21T04:59:31Z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